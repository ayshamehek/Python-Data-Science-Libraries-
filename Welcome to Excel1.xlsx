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0.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hidePivotFieldList="1" autoCompressPictures="0"/>
  <xr:revisionPtr revIDLastSave="0" documentId="8_{0F17FEAD-2E0C-4E6D-B7FC-FA227C009BE2}" xr6:coauthVersionLast="47" xr6:coauthVersionMax="47" xr10:uidLastSave="{00000000-0000-0000-0000-000000000000}"/>
  <bookViews>
    <workbookView xWindow="-120" yWindow="-120" windowWidth="29040" windowHeight="15720" firstSheet="3" activeTab="11"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Sheet1" sheetId="37" r:id="rId11"/>
    <sheet name="10. PivotTables" sheetId="35" r:id="rId12"/>
    <sheet name="Learn more" sheetId="36" r:id="rId13"/>
  </sheets>
  <definedNames>
    <definedName name="_xlnm._FilterDatabase" localSheetId="5" hidden="1">'5. Sort &amp; filter'!$E$5:$G$13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4" r:id="rId14"/>
    <pivotCache cacheId="23"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34" i="26" l="1"/>
  <c r="H35" i="26"/>
  <c r="H36" i="26"/>
  <c r="H37" i="26"/>
  <c r="H38" i="26"/>
  <c r="H39" i="26"/>
  <c r="H40" i="26"/>
  <c r="H41" i="26"/>
  <c r="G16" i="21"/>
  <c r="D16" i="21"/>
  <c r="G8" i="21"/>
  <c r="D8" i="21"/>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5" i="32"/>
  <c r="C37" i="32"/>
  <c r="C34" i="32"/>
  <c r="C33" i="32"/>
  <c r="C36"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<sst xmlns="http://schemas.openxmlformats.org/spreadsheetml/2006/main" count="749" uniqueCount="406">
  <si>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</si>
  <si>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</si>
  <si>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</si>
  <si>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</si>
  <si>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</si>
  <si>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</si>
  <si>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</si>
  <si>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</si>
  <si>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</si>
  <si>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</si>
  <si>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</si>
  <si>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</si>
  <si>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</si>
  <si>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</si>
  <si>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</si>
  <si>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</si>
  <si>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</si>
  <si>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</si>
  <si>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</si>
  <si>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</si>
  <si>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</si>
  <si>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</si>
  <si>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</si>
  <si>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</si>
  <si>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</si>
  <si>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</si>
  <si>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</si>
  <si>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</si>
  <si>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</si>
  <si>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</si>
  <si>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</si>
  <si>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</si>
  <si>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</si>
  <si>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</si>
  <si>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</si>
  <si>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</si>
  <si>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</si>
  <si>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</si>
  <si>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</si>
  <si>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</si>
  <si>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</si>
  <si>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</si>
  <si>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</si>
  <si>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</si>
  <si>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</si>
  <si>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</si>
  <si>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</si>
  <si>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</si>
  <si>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</si>
  <si>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</si>
  <si>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</si>
  <si>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</si>
  <si>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</si>
  <si>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</si>
  <si>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</si>
  <si>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</si>
  <si>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</si>
  <si>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</si>
  <si>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</si>
  <si>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</si>
  <si>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</si>
  <si>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</si>
  <si>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</si>
  <si>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</si>
  <si>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</si>
  <si>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</si>
  <si>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</si>
  <si>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</si>
  <si>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</si>
  <si>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</si>
  <si>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</si>
  <si>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</si>
  <si>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</si>
  <si>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</si>
  <si>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</si>
  <si>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</si>
  <si>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</si>
  <si>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</si>
  <si>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</si>
  <si>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</si>
  <si>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</si>
  <si>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</si>
  <si>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</si>
  <si>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</si>
  <si>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</si>
  <si>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</si>
  <si>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</si>
  <si>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</si>
  <si>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</si>
  <si>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</si>
  <si>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</si>
  <si>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</si>
  <si>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</si>
  <si>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</si>
  <si>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</si>
  <si>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</si>
  <si>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</si>
  <si>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</si>
  <si>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</si>
  <si>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</si>
  <si>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</si>
  <si>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</si>
  <si>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</si>
  <si>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</si>
  <si>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</si>
  <si>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</si>
  <si>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</si>
  <si>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</si>
  <si>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</si>
  <si>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</si>
  <si>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</si>
  <si>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</si>
  <si>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</si>
  <si>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</si>
  <si>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</si>
  <si>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</si>
  <si>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</si>
  <si>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</si>
  <si>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</si>
  <si>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</si>
  <si>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</si>
  <si>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</si>
  <si>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</si>
  <si>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</si>
  <si>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</si>
  <si>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</si>
  <si>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</si>
  <si>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</si>
  <si>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</si>
  <si>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</si>
  <si>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</si>
  <si>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</si>
  <si>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</si>
  <si>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</si>
  <si>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</si>
  <si>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</si>
  <si>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</si>
  <si>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</si>
  <si>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</si>
  <si>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</si>
  <si>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</si>
  <si>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</si>
  <si>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</si>
  <si>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</si>
  <si>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</si>
  <si>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</si>
  <si>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</si>
  <si>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</si>
  <si>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</si>
  <si>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</si>
  <si>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</si>
  <si>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</si>
  <si>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</si>
  <si>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</si>
  <si>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</si>
  <si>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</si>
  <si>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</si>
  <si>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</si>
  <si>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</si>
  <si>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</si>
  <si>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</si>
  <si>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</si>
  <si>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</si>
  <si>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</si>
  <si>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</si>
  <si>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</si>
  <si>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</si>
  <si>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</si>
  <si>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</si>
  <si>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</si>
  <si>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</si>
  <si>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</si>
  <si>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</si>
  <si>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</si>
  <si>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</si>
  <si>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</si>
  <si>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</si>
  <si>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</si>
  <si>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</si>
  <si>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</si>
  <si>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</si>
  <si>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</si>
  <si>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</si>
  <si>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</si>
  <si>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</si>
  <si>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</si>
  <si>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</si>
  <si>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</si>
  <si>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</si>
  <si>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</si>
  <si>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</si>
  <si>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</si>
  <si>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</si>
  <si>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</si>
  <si>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</si>
  <si>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</si>
  <si>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</si>
  <si>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</si>
  <si>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</si>
  <si>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</si>
  <si>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</si>
  <si>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</si>
  <si>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</si>
  <si>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</si>
  <si>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</si>
  <si>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</si>
  <si>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</si>
  <si>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</si>
  <si>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</si>
  <si>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</si>
  <si>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</si>
  <si>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</si>
  <si>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</si>
  <si>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</si>
  <si>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</si>
  <si>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</si>
  <si>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</si>
  <si>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</si>
  <si>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</si>
  <si>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</si>
  <si>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</si>
  <si>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</si>
  <si>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</si>
  <si>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</si>
  <si>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</si>
  <si>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</si>
  <si>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</si>
  <si>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</si>
  <si>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</si>
  <si>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</si>
  <si>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</si>
  <si>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</si>
  <si>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</si>
  <si>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</si>
  <si>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</si>
  <si>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</si>
  <si>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</si>
  <si>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</si>
  <si>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</si>
  <si>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</si>
  <si>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</si>
  <si>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</si>
  <si>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</si>
  <si>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</si>
  <si>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</si>
  <si>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</si>
  <si>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</si>
  <si>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</si>
  <si>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</si>
  <si>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</si>
  <si>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</si>
  <si>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</si>
  <si>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</si>
  <si>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</si>
  <si>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</si>
  <si>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</si>
  <si>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</si>
  <si>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</si>
  <si>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</si>
  <si>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</si>
  <si>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</si>
  <si>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</si>
  <si>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</si>
  <si>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</si>
  <si>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</si>
  <si>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</si>
  <si>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</si>
  <si>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</si>
  <si>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</si>
  <si>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</si>
  <si>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</si>
  <si>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</si>
  <si>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</si>
  <si>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</si>
  <si>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</si>
  <si>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</si>
  <si>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</si>
  <si>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</si>
  <si>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</si>
  <si>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</si>
  <si>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</si>
  <si>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</si>
  <si>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</si>
  <si>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</si>
  <si>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</si>
  <si>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</si>
  <si>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</si>
  <si>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</si>
  <si>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</si>
  <si>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</si>
  <si>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</si>
  <si>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</si>
  <si>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</si>
  <si>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</si>
  <si>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</si>
  <si>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</si>
  <si>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</si>
  <si>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</si>
  <si>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</si>
  <si>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</si>
  <si>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</si>
  <si>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</si>
  <si>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</si>
  <si>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</si>
  <si>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</si>
  <si>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</si>
  <si>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</si>
  <si>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</si>
  <si>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</si>
  <si>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</si>
  <si>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</si>
  <si>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</si>
  <si>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</si>
  <si>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</si>
  <si>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</si>
  <si>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</si>
  <si>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</si>
  <si>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</si>
  <si>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</si>
  <si>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</si>
  <si>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</si>
  <si>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</si>
  <si>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</si>
  <si>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</si>
  <si>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</si>
  <si>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</si>
  <si>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</si>
  <si>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</si>
  <si>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</si>
  <si>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</si>
  <si>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</si>
  <si>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</si>
  <si>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</si>
  <si>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</si>
  <si>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</si>
  <si>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</si>
  <si>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</si>
  <si>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</si>
  <si>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</si>
  <si>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</si>
  <si>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</si>
  <si>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</si>
  <si>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</si>
  <si>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</si>
  <si>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</si>
  <si>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</si>
  <si>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</si>
  <si>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</si>
  <si>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</si>
  <si>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</si>
  <si>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</si>
  <si>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</si>
  <si>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</si>
  <si>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</si>
  <si>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</si>
  <si>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</si>
  <si>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</si>
  <si>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</si>
  <si>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</si>
  <si>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</si>
  <si>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</si>
  <si>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</si>
  <si>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</si>
  <si>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</si>
  <si>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</si>
  <si>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</si>
  <si>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</si>
  <si>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</si>
  <si>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</si>
  <si>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</si>
  <si>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</si>
  <si>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</si>
  <si>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</si>
  <si>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</si>
  <si>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</si>
  <si>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</si>
  <si>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</si>
  <si>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</si>
  <si>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</si>
  <si>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North</t>
  </si>
  <si>
    <t>Kotas</t>
  </si>
  <si>
    <t>Jones</t>
  </si>
  <si>
    <t>McKay</t>
  </si>
  <si>
    <t>Nancy</t>
  </si>
  <si>
    <t>Andy</t>
  </si>
  <si>
    <t>Yvonne</t>
  </si>
  <si>
    <t>nancy</t>
  </si>
  <si>
    <t>andy</t>
  </si>
  <si>
    <t>jan</t>
  </si>
  <si>
    <t>mariya</t>
  </si>
  <si>
    <t>steven</t>
  </si>
  <si>
    <t>michael</t>
  </si>
  <si>
    <t>robert</t>
  </si>
  <si>
    <t>yvonne</t>
  </si>
  <si>
    <t>contoso ltd</t>
  </si>
  <si>
    <t>fabrikam inc</t>
  </si>
  <si>
    <t>relecloud</t>
  </si>
  <si>
    <t>Thorpe</t>
  </si>
  <si>
    <t>Neipper</t>
  </si>
  <si>
    <t>Zare</t>
  </si>
  <si>
    <t>item</t>
  </si>
  <si>
    <t>nov</t>
  </si>
  <si>
    <t>Column1</t>
  </si>
  <si>
    <t>produce</t>
  </si>
  <si>
    <t>meat</t>
  </si>
  <si>
    <t>bakery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</si>
</sst>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6"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8"/>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21">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59">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5" fontId="0" fillId="3" borderId="0" xfId="7" applyFont="1" applyFill="1"/>
    <xf numFmtId="0" fontId="0" fillId="3" borderId="11" xfId="16" applyFont="1" applyFill="1"/>
    <xf numFmtId="0" fontId="0" fillId="0" borderId="3" xfId="17" applyFont="1" applyFill="1"/>
    <xf numFmtId="0" fontId="0" fillId="0" borderId="4" xfId="18" applyFont="1" applyFill="1"/>
    <xf numFmtId="0" fontId="0" fillId="0" borderId="5" xfId="20" applyFont="1" applyFill="1"/>
    <xf numFmtId="6" fontId="0" fillId="0" borderId="0" xfId="0" applyNumberFormat="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6" fillId="2" borderId="0" xfId="14" applyBorder="1"/>
    <xf numFmtId="0" fontId="6" fillId="0" borderId="0" xfId="8" applyAlignment="1">
      <alignment wrapText="1"/>
    </xf>
    <xf numFmtId="0" fontId="10" fillId="6" borderId="0" xfId="13">
      <alignment horizontal="left" wrapText="1" indent="4"/>
    </xf>
    <xf numFmtId="5" fontId="1" fillId="3" borderId="0" xfId="7" applyFill="1"/>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2">
    <dxf>
      <numFmt numFmtId="9" formatCode="&quot;$&quot;#,##0_);\(&quot;$&quot;#,##0\)"/>
    </dxf>
    <dxf>
      <numFmt numFmtId="9" formatCode="&quot;$&quot;#,##0_);\(&quot;$&quot;#,##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alignment horizontal="general" vertical="bottom" textRotation="0" wrapText="0" indent="0" justifyLastLine="0" shrinkToFit="0" readingOrder="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1"/>
      <tableStyleElement type="firstRowStripe" dxfId="10"/>
    </tableStyle>
    <tableStyle name="PivotTable Style 1" table="0" count="2" xr9:uid="{00000000-0011-0000-FFFF-FFFF01000000}">
      <tableStyleElement type="headerRow" dxfId="9"/>
      <tableStyleElement type="totalRow" dxfId="8"/>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2021</c:v>
                </c:pt>
                <c:pt idx="1">
                  <c:v>2022</c:v>
                </c:pt>
                <c:pt idx="2">
                  <c:v>2023</c:v>
                </c:pt>
                <c:pt idx="3">
                  <c:v>2024</c:v>
                </c:pt>
                <c:pt idx="4">
                  <c:v>2025</c:v>
                </c:pt>
                <c:pt idx="5">
                  <c:v>2026</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2021</c:v>
                </c:pt>
                <c:pt idx="1">
                  <c:v>2022</c:v>
                </c:pt>
                <c:pt idx="2">
                  <c:v>2023</c:v>
                </c:pt>
                <c:pt idx="3">
                  <c:v>2024</c:v>
                </c:pt>
                <c:pt idx="4">
                  <c:v>2025</c:v>
                </c:pt>
                <c:pt idx="5">
                  <c:v>2026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BC65-4B72-BD22-23C602E52D4B}"/>
            </c:ext>
          </c:extLst>
        </c:ser>
        <c:dLbls>
          <c:dLblPos val="outEnd"/>
          <c:showLegendKey val="0"/>
          <c:showVal val="1"/>
          <c:showCatName val="0"/>
          <c:showSerName val="0"/>
          <c:showPercent val="0"/>
          <c:showBubbleSize val="0"/>
        </c:dLbls>
        <c:gapWidth val="164"/>
        <c:overlap val="-22"/>
        <c:axId val="1335491488"/>
        <c:axId val="1335491008"/>
      </c:barChart>
      <c:catAx>
        <c:axId val="13354914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1008"/>
        <c:crosses val="autoZero"/>
        <c:auto val="1"/>
        <c:lblAlgn val="ctr"/>
        <c:lblOffset val="100"/>
        <c:noMultiLvlLbl val="0"/>
      </c:catAx>
      <c:valAx>
        <c:axId val="133549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1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hyperlink" Target="#'3. Split'!A62"/><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2.png"/><Relationship Id="rId3" Type="http://schemas.openxmlformats.org/officeDocument/2006/relationships/image" Target="../media/image18.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1.svg"/><Relationship Id="rId11" Type="http://schemas.openxmlformats.org/officeDocument/2006/relationships/hyperlink" Target="https://go.microsoft.com/fwlink/?linkid=844747" TargetMode="External"/><Relationship Id="rId5" Type="http://schemas.openxmlformats.org/officeDocument/2006/relationships/image" Target="../media/image20.png"/><Relationship Id="rId10" Type="http://schemas.openxmlformats.org/officeDocument/2006/relationships/image" Target="../media/image4.svg"/><Relationship Id="rId4" Type="http://schemas.openxmlformats.org/officeDocument/2006/relationships/image" Target="../media/image19.svg"/><Relationship Id="rId9"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3.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4.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5.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26.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9.svg"/><Relationship Id="rId11" Type="http://schemas.openxmlformats.org/officeDocument/2006/relationships/image" Target="../media/image3.png"/><Relationship Id="rId5" Type="http://schemas.openxmlformats.org/officeDocument/2006/relationships/image" Target="../media/image28.png"/><Relationship Id="rId10" Type="http://schemas.openxmlformats.org/officeDocument/2006/relationships/hyperlink" Target="https://go.microsoft.com/fwlink/?linkid=844735" TargetMode="External"/><Relationship Id="rId4" Type="http://schemas.openxmlformats.org/officeDocument/2006/relationships/image" Target="../media/image27.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13" Type="http://schemas.openxmlformats.org/officeDocument/2006/relationships/chart" Target="../charts/chart3.xm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1.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6.svg"/><Relationship Id="rId3" Type="http://schemas.openxmlformats.org/officeDocument/2006/relationships/hyperlink" Target="http://go.microsoft.com/fwlink/?LinkId=844969" TargetMode="External"/><Relationship Id="rId7" Type="http://schemas.openxmlformats.org/officeDocument/2006/relationships/image" Target="../media/image35.png"/><Relationship Id="rId2" Type="http://schemas.openxmlformats.org/officeDocument/2006/relationships/hyperlink" Target="http://go.microsoft.com/fwlink/?LinkId=846285" TargetMode="External"/><Relationship Id="rId1" Type="http://schemas.openxmlformats.org/officeDocument/2006/relationships/image" Target="../media/image32.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695950"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77000" y="154258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86525" y="107219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532170" y="7512049"/>
          <a:ext cx="2545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048750" y="3495675"/>
          <a:ext cx="21621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695950"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304420" y="1143000"/>
          <a:ext cx="2049380" cy="1769645"/>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695950"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705600" y="9378929"/>
          <a:ext cx="34825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695950"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695950"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403975" y="12300756"/>
          <a:ext cx="37687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420099" y="2476500"/>
          <a:ext cx="1657351"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76975" y="11239500"/>
          <a:ext cx="9337225"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695084"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695950"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695950"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352425</xdr:colOff>
      <xdr:row>0</xdr:row>
      <xdr:rowOff>314325</xdr:rowOff>
    </xdr:from>
    <xdr:to>
      <xdr:col>1</xdr:col>
      <xdr:colOff>5200650</xdr:colOff>
      <xdr:row>22</xdr:row>
      <xdr:rowOff>171450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52425" y="314325"/>
          <a:ext cx="5695950"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3"/>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4"/>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381749" y="6105525"/>
          <a:ext cx="49673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286499" y="7362825"/>
          <a:ext cx="28813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695950"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695950"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403974" y="9925049"/>
          <a:ext cx="40925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448425" y="13173075"/>
          <a:ext cx="37337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695950"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43450"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372225" y="3238499"/>
          <a:ext cx="3800475"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695950"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695950"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658350" y="6210299"/>
          <a:ext cx="21431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695950"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695950"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695950"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695950"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8820150" y="11515725"/>
          <a:ext cx="2162175"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648575" y="3543299"/>
          <a:ext cx="25526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800850" y="8486775"/>
          <a:ext cx="400050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695950"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695950"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695950"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695950"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734425" y="6951739"/>
          <a:ext cx="244792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715375" y="847725"/>
          <a:ext cx="263842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695950"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695950"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695950"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695950"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695950"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099696" y="3155155"/>
          <a:ext cx="3177779"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096125" y="3209925"/>
          <a:ext cx="2762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695950"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695950"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315200" y="10420350"/>
          <a:ext cx="5443586"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695950"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48375" y="6181725"/>
          <a:ext cx="5419725"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695950"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658600" y="13392149"/>
          <a:ext cx="14478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096783" y="14668500"/>
          <a:ext cx="2999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twoCellAnchor>
    <xdr:from>
      <xdr:col>4</xdr:col>
      <xdr:colOff>1181100</xdr:colOff>
      <xdr:row>1</xdr:row>
      <xdr:rowOff>128587</xdr:rowOff>
    </xdr:from>
    <xdr:to>
      <xdr:col>11</xdr:col>
      <xdr:colOff>171450</xdr:colOff>
      <xdr:row>16</xdr:row>
      <xdr:rowOff>14287</xdr:rowOff>
    </xdr:to>
    <xdr:graphicFrame macro="">
      <xdr:nvGraphicFramePr>
        <xdr:cNvPr id="6" name="Chart 5">
          <a:extLst>
            <a:ext uri="{FF2B5EF4-FFF2-40B4-BE49-F238E27FC236}">
              <a16:creationId xmlns:a16="http://schemas.microsoft.com/office/drawing/2014/main" id="{CE08C280-AB0E-5D37-AFE2-A9884C747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695950"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695950"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695950"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648450" y="2451566"/>
          <a:ext cx="1404987"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3094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5.448285185186"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6-05-26T00:00:00" maxDate="2026-07-23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5.52584548611" createdVersion="8" refreshedVersion="8" minRefreshableVersion="3" recordCount="7" xr:uid="{B1728CB8-2CCB-4587-8D9D-9144E6370827}">
  <cacheSource type="worksheet">
    <worksheetSource ref="C3:F10" sheet="10. PivotTables"/>
  </cacheSource>
  <cacheFields count="4">
    <cacheField name="Date" numFmtId="0">
      <sharedItems containsNonDate="0" containsDate="1" containsString="0" containsBlank="1" minDate="2026-05-26T00:00:00" maxDate="2026-07-23T00:00:00"/>
    </cacheField>
    <cacheField name="Salesperson" numFmtId="0">
      <sharedItems containsBlank="1"/>
    </cacheField>
    <cacheField name="Product" numFmtId="0">
      <sharedItems containsBlank="1"/>
    </cacheField>
    <cacheField name="Amount" numFmtId="0">
      <sharedItems containsString="0" containsBlank="1"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5-26T00:00:00"/>
    <s v="Anne"/>
    <x v="0"/>
    <n v="1400"/>
  </r>
  <r>
    <d v="2026-05-31T00:00:00"/>
    <s v="Mark"/>
    <x v="1"/>
    <n v="1010"/>
  </r>
  <r>
    <d v="2026-06-17T00:00:00"/>
    <s v="Anne"/>
    <x v="0"/>
    <n v="750"/>
  </r>
  <r>
    <d v="2026-06-21T00:00:00"/>
    <s v="Mark"/>
    <x v="2"/>
    <n v="510"/>
  </r>
  <r>
    <d v="2026-07-11T00:00:00"/>
    <s v="Mariya"/>
    <x v="2"/>
    <n v="1600"/>
  </r>
  <r>
    <d v="2026-07-22T00:00:00"/>
    <s v="Laura"/>
    <x v="1"/>
    <n v="6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26-05-26T00:00:00"/>
    <s v="Anne"/>
    <s v="Beer"/>
    <n v="1400"/>
  </r>
  <r>
    <d v="2026-05-31T00:00:00"/>
    <s v="Mark"/>
    <s v="Wine"/>
    <n v="1010"/>
  </r>
  <r>
    <d v="2026-06-17T00:00:00"/>
    <s v="Anne"/>
    <s v="Beer"/>
    <n v="750"/>
  </r>
  <r>
    <d v="2026-06-21T00:00:00"/>
    <s v="Mark"/>
    <s v="Soda"/>
    <n v="510"/>
  </r>
  <r>
    <d v="2026-07-11T00:00:00"/>
    <s v="Mariya"/>
    <s v="Soda"/>
    <n v="1600"/>
  </r>
  <r>
    <d v="2026-07-22T00:00:00"/>
    <s v="Laura"/>
    <s v="Wine"/>
    <n v="680"/>
  </r>
  <r>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4665F-2ECD-430D-9565-C9DC48018E7D}"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0">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sortState xmlns:xlrd2="http://schemas.microsoft.com/office/spreadsheetml/2017/richdata2" ref="C32:F37">
    <sortCondition ref="E31:E37"/>
  </sortState>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1" dataCellStyle="Currency">
      <calculatedColumnFormula>SUM(CalculatedColumns[[#This Row],[Oct]:[Dec]])</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7"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F1293-DDF9-4282-A220-7DAE97FE8454}" name="Table1" displayName="Table1" ref="N26:N27" insertRow="1" totalsRowShown="0">
  <autoFilter ref="N26:N27" xr:uid="{C53F1293-DDF9-4282-A220-7DAE97FE8454}"/>
  <tableColumns count="1">
    <tableColumn id="1" xr3:uid="{420DB1BE-9F32-4916-AAD3-604C6D34A4C1}" name="Column1"/>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DF8387-BBB8-4981-8D7E-E989BCEF62D6}" name="Table4" displayName="Table4" ref="B5:G15" totalsRowShown="0">
  <autoFilter ref="B5:G15" xr:uid="{CADF8387-BBB8-4981-8D7E-E989BCEF62D6}"/>
  <tableColumns count="6">
    <tableColumn id="1" xr3:uid="{DB0C8730-9416-4918-B3D4-146AD948164C}" name="Column1" dataDxfId="2"/>
    <tableColumn id="2" xr3:uid="{FB9F49C9-1F7D-444D-99D6-2B451E0B3486}" name="Department"/>
    <tableColumn id="3" xr3:uid="{C7C5EAF5-27A4-4075-987D-23C3E1587CA0}" name="Category"/>
    <tableColumn id="4" xr3:uid="{02186AA3-BAFC-4E95-9C28-35451364BF82}" name="Oct"/>
    <tableColumn id="5" xr3:uid="{03AFB488-4595-4886-B09A-795EF75333F2}" name="nov"/>
    <tableColumn id="6" xr3:uid="{AB5548EF-C994-4E39-B0F9-637AF57B0881}" name="Dec"/>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258ACD-4386-4DAE-828D-6B3FFB2E5FC7}" name="Table6" displayName="Table6" ref="C31:D43" totalsRowShown="0" headerRowCellStyle="Heading 3" dataCellStyle="GrayCell">
  <autoFilter ref="C31:D43" xr:uid="{D0258ACD-4386-4DAE-828D-6B3FFB2E5FC7}"/>
  <tableColumns count="2">
    <tableColumn id="1" xr3:uid="{EC6FE318-FA66-4320-9714-2DE81B147CED}" name="Food" dataCellStyle="GrayCell"/>
    <tableColumn id="2" xr3:uid="{CE27CCF8-C5B7-4C07-B9AD-4067AD45423E}" name="Department" dataCellStyle="GrayCell"/>
  </tableColumns>
  <tableStyleInfo name="CustomTable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5"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4" dataCellStyle="Date"/>
    <tableColumn id="2" xr3:uid="{00000000-0010-0000-0A00-000002000000}" name="Salesperson"/>
    <tableColumn id="3" xr3:uid="{00000000-0010-0000-0A00-000003000000}" name="Product"/>
    <tableColumn id="4" xr3:uid="{00000000-0010-0000-0A00-000004000000}" name="Amount" dataDxfId="3"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 Id="rId9"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5" Type="http://schemas.openxmlformats.org/officeDocument/2006/relationships/table" Target="../tables/table7.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10.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2.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11.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4.xml"/><Relationship Id="rId2" Type="http://schemas.openxmlformats.org/officeDocument/2006/relationships/hyperlink" Target="https://go.microsoft.com/fwlink/?linkid=844749" TargetMode="External"/><Relationship Id="rId1" Type="http://schemas.openxmlformats.org/officeDocument/2006/relationships/pivotTable" Target="../pivotTables/pivotTable2.xml"/><Relationship Id="rId6" Type="http://schemas.openxmlformats.org/officeDocument/2006/relationships/table" Target="../tables/table13.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140625" defaultRowHeight="20.25" customHeight="1" x14ac:dyDescent="0.25"/>
  <cols>
    <col min="1" max="1" width="129.7109375" customWidth="1"/>
    <col min="2" max="2" width="3.5703125" customWidth="1"/>
  </cols>
  <sheetData>
    <row r="1" spans="1:1" ht="15" customHeight="1" x14ac:dyDescent="0.25">
      <c r="A1" s="17" t="s">
        <v>330</v>
      </c>
    </row>
    <row r="2" spans="1:1" ht="102" x14ac:dyDescent="1.65">
      <c r="A2" s="25" t="s">
        <v>63</v>
      </c>
    </row>
    <row r="3" spans="1:1" ht="45" x14ac:dyDescent="0.35">
      <c r="A3" s="26" t="s">
        <v>103</v>
      </c>
    </row>
    <row r="4" spans="1:1" ht="264" customHeight="1" x14ac:dyDescent="0.25">
      <c r="A4" s="47" t="s">
        <v>348</v>
      </c>
    </row>
    <row r="5" spans="1:1" ht="20.25" customHeight="1" x14ac:dyDescent="0.35">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zoomScaleNormal="100" zoomScalePageLayoutView="125" workbookViewId="0">
      <selection activeCell="G17" sqref="G17"/>
    </sheetView>
  </sheetViews>
  <sheetFormatPr defaultColWidth="8.85546875" defaultRowHeight="15" customHeight="1" x14ac:dyDescent="0.25"/>
  <cols>
    <col min="1" max="1" width="12.7109375" style="16" customWidth="1"/>
    <col min="2" max="2" width="82.85546875" style="18" customWidth="1"/>
    <col min="3" max="16384" width="8.85546875" style="18"/>
  </cols>
  <sheetData>
    <row r="1" spans="1:7" ht="60" customHeight="1" x14ac:dyDescent="0.5">
      <c r="A1" s="16" t="s">
        <v>104</v>
      </c>
      <c r="B1" s="22"/>
    </row>
    <row r="2" spans="1:7" ht="15" customHeight="1" x14ac:dyDescent="0.25">
      <c r="A2" s="16" t="s">
        <v>105</v>
      </c>
    </row>
    <row r="3" spans="1:7" ht="15" customHeight="1" x14ac:dyDescent="0.25">
      <c r="A3" s="16" t="s">
        <v>106</v>
      </c>
      <c r="B3" s="23"/>
      <c r="C3" s="27" t="s">
        <v>0</v>
      </c>
      <c r="D3" s="27" t="s">
        <v>1</v>
      </c>
      <c r="F3" s="27" t="s">
        <v>6</v>
      </c>
      <c r="G3" s="27" t="s">
        <v>1</v>
      </c>
    </row>
    <row r="4" spans="1:7" ht="15" customHeight="1" x14ac:dyDescent="0.25">
      <c r="A4" s="16" t="s">
        <v>117</v>
      </c>
      <c r="C4" s="6" t="s">
        <v>2</v>
      </c>
      <c r="D4" s="6">
        <v>50</v>
      </c>
      <c r="F4" s="6" t="s">
        <v>7</v>
      </c>
      <c r="G4" s="6">
        <v>50</v>
      </c>
    </row>
    <row r="5" spans="1:7" s="19" customFormat="1" ht="15" customHeight="1" x14ac:dyDescent="0.25">
      <c r="A5" s="16" t="s">
        <v>264</v>
      </c>
      <c r="C5" s="6" t="s">
        <v>3</v>
      </c>
      <c r="D5" s="6">
        <v>20</v>
      </c>
      <c r="F5" s="6" t="s">
        <v>8</v>
      </c>
      <c r="G5" s="6">
        <v>30</v>
      </c>
    </row>
    <row r="6" spans="1:7" s="19" customFormat="1" ht="15" customHeight="1" x14ac:dyDescent="0.25">
      <c r="A6" s="16" t="s">
        <v>138</v>
      </c>
      <c r="B6" s="24"/>
      <c r="C6" s="6" t="s">
        <v>4</v>
      </c>
      <c r="D6" s="6">
        <v>60</v>
      </c>
      <c r="F6" s="6" t="s">
        <v>9</v>
      </c>
      <c r="G6" s="6">
        <v>10</v>
      </c>
    </row>
    <row r="7" spans="1:7" s="19" customFormat="1" ht="15" customHeight="1" x14ac:dyDescent="0.25">
      <c r="A7" s="16" t="s">
        <v>341</v>
      </c>
      <c r="C7" s="6" t="s">
        <v>5</v>
      </c>
      <c r="D7" s="6">
        <v>40</v>
      </c>
      <c r="F7" s="6" t="s">
        <v>10</v>
      </c>
      <c r="G7" s="6">
        <v>50</v>
      </c>
    </row>
    <row r="8" spans="1:7" s="19" customFormat="1" ht="15" customHeight="1" x14ac:dyDescent="0.25">
      <c r="A8" s="16" t="s">
        <v>275</v>
      </c>
      <c r="D8" s="7">
        <f>SUM(D4:D7)</f>
        <v>170</v>
      </c>
      <c r="G8" s="7">
        <f>SUM(G4:G7)</f>
        <v>140</v>
      </c>
    </row>
    <row r="9" spans="1:7" s="19" customFormat="1" ht="15" customHeight="1" x14ac:dyDescent="0.25">
      <c r="A9" s="16" t="s">
        <v>265</v>
      </c>
    </row>
    <row r="10" spans="1:7" s="19" customFormat="1" ht="15" customHeight="1" x14ac:dyDescent="0.25">
      <c r="A10" s="16" t="s">
        <v>276</v>
      </c>
      <c r="C10" s="27" t="s">
        <v>11</v>
      </c>
      <c r="D10" s="27" t="s">
        <v>1</v>
      </c>
      <c r="F10" s="27" t="s">
        <v>11</v>
      </c>
      <c r="G10" s="27" t="s">
        <v>1</v>
      </c>
    </row>
    <row r="11" spans="1:7" s="19" customFormat="1" ht="15" customHeight="1" x14ac:dyDescent="0.25">
      <c r="A11" s="16" t="s">
        <v>366</v>
      </c>
      <c r="C11" s="6" t="s">
        <v>12</v>
      </c>
      <c r="D11" s="6">
        <v>50</v>
      </c>
      <c r="F11" s="6" t="s">
        <v>12</v>
      </c>
      <c r="G11" s="6">
        <v>50</v>
      </c>
    </row>
    <row r="12" spans="1:7" s="19" customFormat="1" ht="15" customHeight="1" x14ac:dyDescent="0.25">
      <c r="A12" s="16" t="s">
        <v>277</v>
      </c>
      <c r="C12" s="6" t="s">
        <v>13</v>
      </c>
      <c r="D12" s="6">
        <v>100</v>
      </c>
      <c r="F12" s="6" t="s">
        <v>13</v>
      </c>
      <c r="G12" s="6">
        <v>100</v>
      </c>
    </row>
    <row r="13" spans="1:7" s="19" customFormat="1" ht="15" customHeight="1" x14ac:dyDescent="0.25">
      <c r="A13" s="16" t="s">
        <v>118</v>
      </c>
      <c r="C13" s="6" t="s">
        <v>14</v>
      </c>
      <c r="D13" s="6">
        <v>40</v>
      </c>
      <c r="F13" s="6" t="s">
        <v>14</v>
      </c>
      <c r="G13" s="6">
        <v>40</v>
      </c>
    </row>
    <row r="14" spans="1:7" s="19" customFormat="1" ht="15" customHeight="1" x14ac:dyDescent="0.25">
      <c r="A14" s="16"/>
      <c r="C14" s="6" t="s">
        <v>15</v>
      </c>
      <c r="D14" s="6">
        <v>50</v>
      </c>
      <c r="F14" s="6" t="s">
        <v>15</v>
      </c>
      <c r="G14" s="6">
        <v>50</v>
      </c>
    </row>
    <row r="15" spans="1:7" s="19" customFormat="1" ht="15" customHeight="1" thickBot="1" x14ac:dyDescent="0.3">
      <c r="A15" s="16"/>
      <c r="C15" s="6" t="s">
        <v>16</v>
      </c>
      <c r="D15" s="6">
        <v>20</v>
      </c>
      <c r="F15" s="6" t="s">
        <v>16</v>
      </c>
      <c r="G15" s="6">
        <v>20</v>
      </c>
    </row>
    <row r="16" spans="1:7" s="19" customFormat="1" ht="15" customHeight="1" thickTop="1" thickBot="1" x14ac:dyDescent="0.3">
      <c r="A16" s="16"/>
      <c r="D16" s="7">
        <f>SUMIF(D11:D15,"&gt;50")</f>
        <v>100</v>
      </c>
      <c r="G16" s="20">
        <f>SUMIF(G11:G15,"&gt;50")</f>
        <v>100</v>
      </c>
    </row>
    <row r="17" spans="1:1" s="19" customFormat="1" ht="15" customHeight="1" thickTop="1" x14ac:dyDescent="0.25">
      <c r="A17" s="16"/>
    </row>
    <row r="18" spans="1:1" s="19" customFormat="1" ht="15" customHeight="1" x14ac:dyDescent="0.25">
      <c r="A18" s="16"/>
    </row>
    <row r="19" spans="1:1" s="19" customFormat="1" ht="15" customHeight="1" x14ac:dyDescent="0.25">
      <c r="A19" s="16"/>
    </row>
    <row r="20" spans="1:1" s="19" customFormat="1" ht="15" customHeight="1" x14ac:dyDescent="0.25">
      <c r="A20" s="16"/>
    </row>
    <row r="21" spans="1:1" s="19" customFormat="1" ht="15" customHeight="1" x14ac:dyDescent="0.25">
      <c r="A21" s="16"/>
    </row>
    <row r="22" spans="1:1" s="19" customFormat="1" ht="15" customHeight="1" x14ac:dyDescent="0.25">
      <c r="A22" s="16"/>
    </row>
    <row r="23" spans="1:1" s="19" customFormat="1" ht="15" customHeight="1" x14ac:dyDescent="0.25">
      <c r="A23" s="16"/>
    </row>
    <row r="24" spans="1:1" s="19" customFormat="1" ht="15" customHeight="1" x14ac:dyDescent="0.25">
      <c r="A24" s="16"/>
    </row>
    <row r="27" spans="1:1" ht="15" customHeight="1" x14ac:dyDescent="0.25">
      <c r="A27" s="16" t="s">
        <v>107</v>
      </c>
    </row>
    <row r="28" spans="1:1" ht="15" customHeight="1" x14ac:dyDescent="0.25">
      <c r="A28" s="16" t="s">
        <v>108</v>
      </c>
    </row>
    <row r="29" spans="1:1" ht="15" customHeight="1" x14ac:dyDescent="0.25">
      <c r="A29" s="16" t="s">
        <v>266</v>
      </c>
    </row>
    <row r="30" spans="1:1" ht="15" customHeight="1" x14ac:dyDescent="0.25">
      <c r="A30" s="16" t="s">
        <v>267</v>
      </c>
    </row>
    <row r="31" spans="1:1" ht="15" customHeight="1" x14ac:dyDescent="0.25">
      <c r="A31" s="16" t="s">
        <v>268</v>
      </c>
    </row>
    <row r="32" spans="1:1" ht="15" customHeight="1" x14ac:dyDescent="0.25">
      <c r="A32" s="16" t="s">
        <v>109</v>
      </c>
    </row>
    <row r="33" spans="1:7" ht="15" customHeight="1" x14ac:dyDescent="0.25">
      <c r="A33" s="16" t="s">
        <v>332</v>
      </c>
    </row>
    <row r="34" spans="1:7" ht="15" customHeight="1" x14ac:dyDescent="0.25">
      <c r="A34" s="16" t="s">
        <v>269</v>
      </c>
    </row>
    <row r="35" spans="1:7" ht="15" customHeight="1" x14ac:dyDescent="0.25">
      <c r="A35" s="16" t="s">
        <v>270</v>
      </c>
    </row>
    <row r="36" spans="1:7" ht="15" customHeight="1" x14ac:dyDescent="0.25">
      <c r="A36" s="16" t="s">
        <v>367</v>
      </c>
    </row>
    <row r="37" spans="1:7" ht="15" customHeight="1" x14ac:dyDescent="0.25">
      <c r="A37" s="16" t="s">
        <v>271</v>
      </c>
      <c r="C37" s="27" t="s">
        <v>0</v>
      </c>
      <c r="D37" s="27" t="s">
        <v>1</v>
      </c>
    </row>
    <row r="38" spans="1:7" ht="15" customHeight="1" x14ac:dyDescent="0.25">
      <c r="A38" s="16" t="s">
        <v>272</v>
      </c>
      <c r="C38" s="6" t="s">
        <v>2</v>
      </c>
      <c r="D38" s="6">
        <v>50</v>
      </c>
      <c r="E38" s="19"/>
    </row>
    <row r="39" spans="1:7" ht="15" customHeight="1" x14ac:dyDescent="0.25">
      <c r="A39" s="16" t="s">
        <v>110</v>
      </c>
      <c r="C39" s="6" t="s">
        <v>3</v>
      </c>
      <c r="D39" s="6">
        <v>20</v>
      </c>
      <c r="E39" s="19"/>
    </row>
    <row r="40" spans="1:7" ht="15" customHeight="1" x14ac:dyDescent="0.25">
      <c r="A40" s="16" t="s">
        <v>273</v>
      </c>
      <c r="C40" s="6" t="s">
        <v>4</v>
      </c>
      <c r="D40" s="6">
        <v>60</v>
      </c>
      <c r="E40" s="19"/>
    </row>
    <row r="41" spans="1:7" ht="15" customHeight="1" x14ac:dyDescent="0.25">
      <c r="A41" s="16" t="s">
        <v>274</v>
      </c>
      <c r="C41" s="6" t="s">
        <v>5</v>
      </c>
      <c r="D41" s="6">
        <v>40</v>
      </c>
      <c r="E41" s="19"/>
    </row>
    <row r="42" spans="1:7" ht="15" customHeight="1" x14ac:dyDescent="0.25">
      <c r="A42" s="16" t="s">
        <v>136</v>
      </c>
      <c r="C42" s="19"/>
      <c r="D42" s="7">
        <f>SUM(D38:D41)</f>
        <v>170</v>
      </c>
      <c r="E42" s="19"/>
      <c r="F42" s="19"/>
      <c r="G42" s="19"/>
    </row>
    <row r="43" spans="1:7" ht="15" customHeight="1" x14ac:dyDescent="0.25">
      <c r="A43" s="16" t="s">
        <v>119</v>
      </c>
    </row>
    <row r="47" spans="1:7" ht="15" customHeight="1" x14ac:dyDescent="0.25">
      <c r="C47" s="27" t="s">
        <v>11</v>
      </c>
      <c r="D47" s="27" t="s">
        <v>1</v>
      </c>
      <c r="E47" s="19"/>
      <c r="F47" s="27" t="s">
        <v>11</v>
      </c>
      <c r="G47" s="27" t="s">
        <v>1</v>
      </c>
    </row>
    <row r="48" spans="1:7" ht="15" customHeight="1" x14ac:dyDescent="0.25">
      <c r="C48" s="6" t="s">
        <v>17</v>
      </c>
      <c r="D48" s="6">
        <v>20</v>
      </c>
      <c r="E48" s="19"/>
      <c r="F48" s="6" t="s">
        <v>18</v>
      </c>
      <c r="G48" s="6">
        <v>20</v>
      </c>
    </row>
    <row r="49" spans="3:7" ht="15" customHeight="1" x14ac:dyDescent="0.25">
      <c r="C49" s="6"/>
      <c r="D49" s="6"/>
      <c r="E49" s="19"/>
      <c r="F49" s="6" t="s">
        <v>19</v>
      </c>
      <c r="G49" s="6">
        <v>10</v>
      </c>
    </row>
    <row r="50" spans="3:7" ht="15" customHeight="1" x14ac:dyDescent="0.25">
      <c r="C50" s="6"/>
      <c r="D50" s="6"/>
      <c r="E50" s="19"/>
      <c r="F50" s="6" t="s">
        <v>20</v>
      </c>
      <c r="G50" s="6">
        <v>10</v>
      </c>
    </row>
    <row r="51" spans="3:7" ht="15" customHeight="1" x14ac:dyDescent="0.25">
      <c r="C51" s="6"/>
      <c r="D51" s="6"/>
      <c r="E51" s="19"/>
      <c r="F51" s="6" t="s">
        <v>21</v>
      </c>
      <c r="G51" s="6">
        <v>40</v>
      </c>
    </row>
    <row r="53" spans="3:7" ht="15" customHeight="1" x14ac:dyDescent="0.25">
      <c r="E53" s="27" t="s">
        <v>22</v>
      </c>
    </row>
    <row r="54" spans="3:7" ht="15" customHeight="1" x14ac:dyDescent="0.25">
      <c r="E54" s="7">
        <f>SUM(D48,G48:G51,100)</f>
        <v>200</v>
      </c>
    </row>
    <row r="66" spans="1:7" ht="15" customHeight="1" x14ac:dyDescent="0.25">
      <c r="A66" s="16" t="s">
        <v>111</v>
      </c>
    </row>
    <row r="67" spans="1:7" ht="15" customHeight="1" x14ac:dyDescent="0.25">
      <c r="A67" s="16" t="s">
        <v>278</v>
      </c>
    </row>
    <row r="68" spans="1:7" ht="15" customHeight="1" x14ac:dyDescent="0.25">
      <c r="A68" s="16" t="s">
        <v>279</v>
      </c>
    </row>
    <row r="69" spans="1:7" ht="15" customHeight="1" x14ac:dyDescent="0.25">
      <c r="A69" s="16" t="s">
        <v>368</v>
      </c>
    </row>
    <row r="70" spans="1:7" ht="15" customHeight="1" x14ac:dyDescent="0.25">
      <c r="A70" s="16" t="s">
        <v>280</v>
      </c>
    </row>
    <row r="71" spans="1:7" ht="15" customHeight="1" x14ac:dyDescent="0.25">
      <c r="A71" s="16" t="s">
        <v>137</v>
      </c>
    </row>
    <row r="72" spans="1:7" ht="15" customHeight="1" x14ac:dyDescent="0.25">
      <c r="A72" s="16" t="s">
        <v>281</v>
      </c>
      <c r="C72" s="27" t="s">
        <v>11</v>
      </c>
      <c r="D72" s="27" t="s">
        <v>1</v>
      </c>
      <c r="F72" s="27" t="s">
        <v>11</v>
      </c>
      <c r="G72" s="27" t="s">
        <v>1</v>
      </c>
    </row>
    <row r="73" spans="1:7" ht="15" customHeight="1" x14ac:dyDescent="0.25">
      <c r="A73" s="46" t="s">
        <v>369</v>
      </c>
      <c r="C73" s="6" t="s">
        <v>12</v>
      </c>
      <c r="D73" s="6">
        <v>50</v>
      </c>
      <c r="F73" s="6" t="s">
        <v>12</v>
      </c>
      <c r="G73" s="6">
        <v>50</v>
      </c>
    </row>
    <row r="74" spans="1:7" ht="15" customHeight="1" x14ac:dyDescent="0.25">
      <c r="A74" s="16" t="s">
        <v>120</v>
      </c>
      <c r="C74" s="6" t="s">
        <v>13</v>
      </c>
      <c r="D74" s="6">
        <v>100</v>
      </c>
      <c r="F74" s="6" t="s">
        <v>13</v>
      </c>
      <c r="G74" s="6">
        <v>100</v>
      </c>
    </row>
    <row r="75" spans="1:7" ht="15" customHeight="1" x14ac:dyDescent="0.25">
      <c r="C75" s="6" t="s">
        <v>14</v>
      </c>
      <c r="D75" s="6">
        <v>40</v>
      </c>
      <c r="F75" s="6" t="s">
        <v>14</v>
      </c>
      <c r="G75" s="6">
        <v>40</v>
      </c>
    </row>
    <row r="76" spans="1:7" ht="15" customHeight="1" x14ac:dyDescent="0.25">
      <c r="C76" s="6" t="s">
        <v>15</v>
      </c>
      <c r="D76" s="6">
        <v>50</v>
      </c>
      <c r="F76" s="6" t="s">
        <v>15</v>
      </c>
      <c r="G76" s="6">
        <v>50</v>
      </c>
    </row>
    <row r="77" spans="1:7" ht="15" customHeight="1" thickBot="1" x14ac:dyDescent="0.3">
      <c r="C77" s="6" t="s">
        <v>16</v>
      </c>
      <c r="D77" s="6">
        <v>20</v>
      </c>
      <c r="F77" s="6" t="s">
        <v>16</v>
      </c>
      <c r="G77" s="6">
        <v>20</v>
      </c>
    </row>
    <row r="78" spans="1:7" ht="15" customHeight="1" thickTop="1" thickBot="1" x14ac:dyDescent="0.3">
      <c r="D78" s="7">
        <f>SUMIF(D73:D77,"&gt;50")</f>
        <v>100</v>
      </c>
      <c r="F78" s="21"/>
      <c r="G78" s="20">
        <f>SUMIF(G73:G77,"&gt;=50")</f>
        <v>200</v>
      </c>
    </row>
    <row r="79" spans="1:7" ht="15" customHeight="1" thickTop="1" x14ac:dyDescent="0.25"/>
    <row r="86" spans="1:1" ht="15" customHeight="1" x14ac:dyDescent="0.25">
      <c r="A86" s="16" t="s">
        <v>113</v>
      </c>
    </row>
    <row r="87" spans="1:1" ht="15" customHeight="1" x14ac:dyDescent="0.25">
      <c r="A87" s="16" t="s">
        <v>114</v>
      </c>
    </row>
    <row r="88" spans="1:1" ht="15" customHeight="1" x14ac:dyDescent="0.25">
      <c r="A88" s="16" t="s">
        <v>115</v>
      </c>
    </row>
    <row r="89" spans="1:1" ht="15" customHeight="1" x14ac:dyDescent="0.25">
      <c r="A89" s="16" t="s">
        <v>116</v>
      </c>
    </row>
    <row r="90" spans="1:1" ht="15" customHeight="1" x14ac:dyDescent="0.25">
      <c r="A90" s="16" t="s">
        <v>362</v>
      </c>
    </row>
    <row r="91" spans="1:1" ht="15" customHeight="1" x14ac:dyDescent="0.25">
      <c r="A91" s="16"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election activeCell="C24" sqref="C24"/>
    </sheetView>
  </sheetViews>
  <sheetFormatPr defaultColWidth="8.85546875" defaultRowHeight="15" customHeight="1" x14ac:dyDescent="0.25"/>
  <cols>
    <col min="1" max="1" width="12.7109375" style="16" customWidth="1"/>
    <col min="2" max="2" width="82.85546875" customWidth="1"/>
    <col min="3" max="16384" width="8.85546875" style="18"/>
  </cols>
  <sheetData>
    <row r="1" spans="1:9" ht="60" customHeight="1" x14ac:dyDescent="0.25">
      <c r="A1" s="16" t="s">
        <v>122</v>
      </c>
    </row>
    <row r="2" spans="1:9" ht="15" customHeight="1" x14ac:dyDescent="0.25">
      <c r="A2" s="16" t="s">
        <v>139</v>
      </c>
    </row>
    <row r="3" spans="1:9" ht="15" customHeight="1" x14ac:dyDescent="0.25">
      <c r="A3" s="16" t="s">
        <v>282</v>
      </c>
      <c r="C3" s="27" t="s">
        <v>23</v>
      </c>
      <c r="D3" s="27" t="s">
        <v>24</v>
      </c>
      <c r="E3" s="27" t="s">
        <v>25</v>
      </c>
      <c r="F3" s="27" t="s">
        <v>24</v>
      </c>
      <c r="G3" s="27" t="s">
        <v>25</v>
      </c>
    </row>
    <row r="4" spans="1:9" ht="15" customHeight="1" x14ac:dyDescent="0.25">
      <c r="A4" s="16" t="s">
        <v>123</v>
      </c>
      <c r="C4" s="6">
        <v>50</v>
      </c>
      <c r="D4" s="6">
        <v>50</v>
      </c>
      <c r="E4" s="7">
        <f>SUM(C4:D4)</f>
        <v>100</v>
      </c>
      <c r="F4" s="6">
        <v>75</v>
      </c>
      <c r="G4" s="6">
        <f>SUM(E4:F4)</f>
        <v>175</v>
      </c>
    </row>
    <row r="5" spans="1:9" s="19" customFormat="1" ht="15" customHeight="1" x14ac:dyDescent="0.25">
      <c r="A5" s="16" t="s">
        <v>283</v>
      </c>
      <c r="B5"/>
      <c r="C5" s="6">
        <v>50</v>
      </c>
      <c r="D5" s="6">
        <v>60</v>
      </c>
      <c r="E5" s="6"/>
      <c r="F5" s="6">
        <v>75</v>
      </c>
      <c r="G5" s="6"/>
      <c r="H5" s="18"/>
      <c r="I5" s="18"/>
    </row>
    <row r="6" spans="1:9" s="19" customFormat="1" ht="15" customHeight="1" x14ac:dyDescent="0.25">
      <c r="A6" s="16" t="s">
        <v>284</v>
      </c>
      <c r="B6"/>
      <c r="C6" s="6">
        <v>50</v>
      </c>
      <c r="D6" s="6">
        <v>70</v>
      </c>
      <c r="E6" s="6"/>
      <c r="F6" s="6">
        <v>75</v>
      </c>
      <c r="G6" s="6"/>
      <c r="H6" s="18"/>
      <c r="I6" s="18"/>
    </row>
    <row r="7" spans="1:9" s="19" customFormat="1" ht="15" customHeight="1" x14ac:dyDescent="0.25">
      <c r="A7" s="16" t="s">
        <v>285</v>
      </c>
      <c r="B7"/>
      <c r="C7" s="6">
        <v>50</v>
      </c>
      <c r="D7" s="6">
        <v>80</v>
      </c>
      <c r="E7" s="6"/>
      <c r="F7" s="6">
        <v>75</v>
      </c>
      <c r="G7" s="6"/>
      <c r="H7" s="18"/>
      <c r="I7" s="18"/>
    </row>
    <row r="8" spans="1:9" s="19" customFormat="1" ht="15" customHeight="1" x14ac:dyDescent="0.25">
      <c r="A8" s="16" t="s">
        <v>124</v>
      </c>
      <c r="B8"/>
      <c r="C8" s="18"/>
      <c r="D8" s="18"/>
      <c r="E8" s="18"/>
      <c r="F8" s="18"/>
      <c r="G8" s="18"/>
      <c r="H8" s="18"/>
      <c r="I8" s="18"/>
    </row>
    <row r="9" spans="1:9" s="19" customFormat="1" ht="15" customHeight="1" x14ac:dyDescent="0.25">
      <c r="A9" s="16" t="s">
        <v>125</v>
      </c>
      <c r="B9"/>
      <c r="C9" s="18"/>
      <c r="D9" s="18"/>
      <c r="E9" s="18"/>
      <c r="F9" s="18"/>
      <c r="G9" s="18"/>
      <c r="H9" s="18"/>
      <c r="I9" s="18"/>
    </row>
    <row r="10" spans="1:9" s="19" customFormat="1" ht="15" customHeight="1" x14ac:dyDescent="0.25">
      <c r="A10" s="16"/>
      <c r="B10"/>
      <c r="C10" s="27" t="s">
        <v>23</v>
      </c>
      <c r="D10" s="27" t="s">
        <v>24</v>
      </c>
      <c r="E10" s="27" t="s">
        <v>25</v>
      </c>
      <c r="F10" s="27" t="s">
        <v>24</v>
      </c>
      <c r="G10" s="27" t="s">
        <v>25</v>
      </c>
      <c r="H10" s="18"/>
      <c r="I10" s="18"/>
    </row>
    <row r="11" spans="1:9" s="19" customFormat="1" ht="15" customHeight="1" x14ac:dyDescent="0.25">
      <c r="A11" s="16"/>
      <c r="B11"/>
      <c r="C11" s="6">
        <v>50</v>
      </c>
      <c r="D11" s="6">
        <v>50</v>
      </c>
      <c r="E11" s="6">
        <f>SUM(C11:D11)</f>
        <v>100</v>
      </c>
      <c r="F11" s="6">
        <v>75</v>
      </c>
      <c r="G11" s="6">
        <f>SUM(E11:F11)</f>
        <v>175</v>
      </c>
      <c r="H11" s="18"/>
      <c r="I11" s="18"/>
    </row>
    <row r="12" spans="1:9" s="19" customFormat="1" ht="15" customHeight="1" x14ac:dyDescent="0.25">
      <c r="A12" s="16"/>
      <c r="B12"/>
      <c r="C12" s="6">
        <v>50</v>
      </c>
      <c r="D12" s="6">
        <v>60</v>
      </c>
      <c r="E12" s="6">
        <f t="shared" ref="E12:E14" si="0">SUM(C12:D12)</f>
        <v>110</v>
      </c>
      <c r="F12" s="6">
        <v>75</v>
      </c>
      <c r="G12" s="6">
        <f t="shared" ref="G12:G14" si="1">SUM(E12:F12)</f>
        <v>185</v>
      </c>
      <c r="H12" s="18"/>
      <c r="I12" s="18"/>
    </row>
    <row r="13" spans="1:9" s="19" customFormat="1" ht="15" customHeight="1" x14ac:dyDescent="0.25">
      <c r="A13" s="16"/>
      <c r="B13"/>
      <c r="C13" s="6">
        <v>50</v>
      </c>
      <c r="D13" s="6">
        <v>70</v>
      </c>
      <c r="E13" s="6">
        <f t="shared" si="0"/>
        <v>120</v>
      </c>
      <c r="F13" s="6">
        <v>75</v>
      </c>
      <c r="G13" s="6">
        <f t="shared" si="1"/>
        <v>195</v>
      </c>
      <c r="H13" s="18"/>
      <c r="I13" s="18"/>
    </row>
    <row r="14" spans="1:9" s="19" customFormat="1" ht="15" customHeight="1" x14ac:dyDescent="0.25">
      <c r="A14" s="16"/>
      <c r="B14"/>
      <c r="C14" s="41">
        <v>50</v>
      </c>
      <c r="D14" s="41">
        <v>80</v>
      </c>
      <c r="E14" s="41">
        <f t="shared" si="0"/>
        <v>130</v>
      </c>
      <c r="F14" s="41">
        <v>75</v>
      </c>
      <c r="G14" s="41">
        <f t="shared" si="1"/>
        <v>205</v>
      </c>
      <c r="H14" s="18"/>
      <c r="I14" s="18"/>
    </row>
    <row r="15" spans="1:9" s="19" customFormat="1" ht="15" customHeight="1" x14ac:dyDescent="0.25">
      <c r="A15" s="16"/>
      <c r="B15"/>
      <c r="C15" s="7">
        <f>SUM(C11:C14)</f>
        <v>200</v>
      </c>
      <c r="D15" s="6"/>
      <c r="E15" s="6"/>
      <c r="F15" s="6"/>
      <c r="G15" s="6"/>
      <c r="H15" s="18"/>
      <c r="I15" s="18"/>
    </row>
    <row r="16" spans="1:9" s="19" customFormat="1" ht="15" customHeight="1" x14ac:dyDescent="0.25">
      <c r="A16" s="16"/>
      <c r="B16"/>
      <c r="H16" s="18"/>
      <c r="I16" s="18"/>
    </row>
    <row r="17" spans="1:9" s="19" customFormat="1" ht="15" customHeight="1" x14ac:dyDescent="0.25">
      <c r="A17" s="16"/>
      <c r="B17"/>
      <c r="H17" s="18"/>
      <c r="I17" s="18"/>
    </row>
    <row r="18" spans="1:9" s="19" customFormat="1" ht="15" customHeight="1" x14ac:dyDescent="0.25">
      <c r="A18" s="16"/>
      <c r="B18"/>
      <c r="C18" s="18"/>
      <c r="D18" s="18"/>
      <c r="E18" s="18"/>
      <c r="F18" s="18"/>
      <c r="G18" s="18"/>
      <c r="H18" s="18"/>
      <c r="I18" s="18"/>
    </row>
    <row r="19" spans="1:9" s="19" customFormat="1" ht="15" customHeight="1" x14ac:dyDescent="0.25">
      <c r="A19" s="16"/>
      <c r="B19"/>
      <c r="C19" s="18"/>
      <c r="D19" s="18"/>
      <c r="E19" s="18"/>
      <c r="F19" s="18"/>
      <c r="G19" s="18"/>
      <c r="H19" s="18"/>
      <c r="I19" s="18"/>
    </row>
    <row r="20" spans="1:9" s="19" customFormat="1" ht="15" customHeight="1" x14ac:dyDescent="0.25">
      <c r="A20" s="16"/>
      <c r="B20"/>
      <c r="C20" s="18"/>
      <c r="D20" s="18"/>
      <c r="E20" s="18"/>
      <c r="F20" s="18"/>
      <c r="G20" s="18"/>
      <c r="H20" s="18"/>
      <c r="I20" s="18"/>
    </row>
    <row r="21" spans="1:9" s="19" customFormat="1" ht="15" customHeight="1" x14ac:dyDescent="0.25">
      <c r="A21" s="16"/>
      <c r="B21"/>
      <c r="C21" s="18"/>
      <c r="D21" s="18"/>
      <c r="E21" s="18"/>
      <c r="F21" s="18"/>
      <c r="G21" s="18"/>
      <c r="H21" s="18"/>
      <c r="I21" s="18"/>
    </row>
    <row r="22" spans="1:9" s="19" customFormat="1" ht="15" customHeight="1" x14ac:dyDescent="0.25">
      <c r="A22" s="16"/>
      <c r="B22"/>
    </row>
    <row r="23" spans="1:9" s="19" customFormat="1" ht="15" customHeight="1" x14ac:dyDescent="0.25">
      <c r="A23" s="16"/>
      <c r="B23"/>
    </row>
    <row r="24" spans="1:9" s="19" customFormat="1" ht="15" customHeight="1" x14ac:dyDescent="0.25">
      <c r="A24" s="16"/>
      <c r="B24"/>
    </row>
    <row r="27" spans="1:9" ht="15" customHeight="1" x14ac:dyDescent="0.25">
      <c r="A27" s="16" t="s">
        <v>126</v>
      </c>
    </row>
    <row r="28" spans="1:9" ht="15" customHeight="1" x14ac:dyDescent="0.25">
      <c r="A28" s="16" t="s">
        <v>127</v>
      </c>
    </row>
    <row r="29" spans="1:9" ht="15" customHeight="1" x14ac:dyDescent="0.25">
      <c r="A29" s="16" t="s">
        <v>286</v>
      </c>
    </row>
    <row r="30" spans="1:9" ht="15" customHeight="1" x14ac:dyDescent="0.25">
      <c r="A30" s="16" t="s">
        <v>287</v>
      </c>
    </row>
    <row r="31" spans="1:9" ht="15" customHeight="1" x14ac:dyDescent="0.25">
      <c r="A31" s="16" t="s">
        <v>140</v>
      </c>
    </row>
    <row r="33" spans="3:8" ht="15" customHeight="1" x14ac:dyDescent="0.25">
      <c r="C33" s="27" t="s">
        <v>34</v>
      </c>
      <c r="D33" s="27" t="s">
        <v>26</v>
      </c>
      <c r="E33" s="27" t="s">
        <v>27</v>
      </c>
      <c r="F33" s="27" t="s">
        <v>33</v>
      </c>
    </row>
    <row r="34" spans="3:8" ht="15" customHeight="1" x14ac:dyDescent="0.25">
      <c r="C34" s="42" t="s">
        <v>28</v>
      </c>
      <c r="D34" s="42" t="s">
        <v>0</v>
      </c>
      <c r="E34" s="6" t="s">
        <v>29</v>
      </c>
      <c r="F34" s="6">
        <v>100</v>
      </c>
    </row>
    <row r="35" spans="3:8" ht="15" customHeight="1" x14ac:dyDescent="0.25">
      <c r="C35" s="6"/>
      <c r="D35" s="6"/>
      <c r="E35" s="6" t="s">
        <v>30</v>
      </c>
      <c r="F35" s="6">
        <v>200</v>
      </c>
    </row>
    <row r="36" spans="3:8" ht="15" customHeight="1" x14ac:dyDescent="0.25">
      <c r="C36" s="6"/>
      <c r="D36" s="6"/>
      <c r="E36" s="6" t="s">
        <v>31</v>
      </c>
      <c r="F36" s="6">
        <v>50</v>
      </c>
    </row>
    <row r="37" spans="3:8" ht="15" customHeight="1" x14ac:dyDescent="0.25">
      <c r="C37" s="6"/>
      <c r="D37" s="6"/>
      <c r="E37" s="6" t="s">
        <v>32</v>
      </c>
      <c r="F37" s="6">
        <v>100</v>
      </c>
    </row>
    <row r="46" spans="3:8" ht="15" customHeight="1" thickBot="1" x14ac:dyDescent="0.3">
      <c r="C46" s="27"/>
      <c r="D46" s="27" t="s">
        <v>35</v>
      </c>
      <c r="E46" s="27"/>
      <c r="F46" s="27"/>
    </row>
    <row r="47" spans="3:8" ht="15" customHeight="1" thickTop="1" thickBot="1" x14ac:dyDescent="0.3">
      <c r="C47" s="42" t="s">
        <v>36</v>
      </c>
      <c r="D47" s="6">
        <v>35</v>
      </c>
      <c r="E47" s="6">
        <v>44</v>
      </c>
      <c r="F47" s="6">
        <v>79</v>
      </c>
      <c r="H47" s="20" t="s">
        <v>61</v>
      </c>
    </row>
    <row r="48" spans="3:8" ht="15" customHeight="1" thickTop="1" x14ac:dyDescent="0.25">
      <c r="C48" s="6"/>
      <c r="D48" s="6">
        <v>74</v>
      </c>
      <c r="E48" s="6">
        <v>64</v>
      </c>
      <c r="F48" s="6">
        <v>56</v>
      </c>
      <c r="H48" s="6"/>
    </row>
    <row r="49" spans="1:8" ht="15" customHeight="1" x14ac:dyDescent="0.25">
      <c r="C49" s="6"/>
      <c r="D49" s="6">
        <v>82</v>
      </c>
      <c r="E49" s="6">
        <v>50</v>
      </c>
      <c r="F49" s="6">
        <v>83</v>
      </c>
      <c r="H49" s="6"/>
    </row>
    <row r="50" spans="1:8" ht="15" customHeight="1" x14ac:dyDescent="0.25">
      <c r="C50" s="6"/>
      <c r="D50" s="6">
        <v>90</v>
      </c>
      <c r="E50" s="6">
        <v>22</v>
      </c>
      <c r="F50" s="6">
        <v>89</v>
      </c>
      <c r="H50" s="6"/>
    </row>
    <row r="60" spans="1:8" ht="15" customHeight="1" x14ac:dyDescent="0.25">
      <c r="C60" s="27" t="s">
        <v>37</v>
      </c>
      <c r="D60" s="27"/>
      <c r="E60" s="27"/>
      <c r="F60" s="27"/>
      <c r="G60" s="27"/>
      <c r="H60" s="27"/>
    </row>
    <row r="61" spans="1:8" ht="15" customHeight="1" x14ac:dyDescent="0.25">
      <c r="C61" s="42">
        <v>15</v>
      </c>
      <c r="D61" s="42">
        <v>30</v>
      </c>
      <c r="E61" s="6"/>
      <c r="F61" s="6"/>
      <c r="G61" s="6"/>
      <c r="H61" s="6"/>
    </row>
    <row r="64" spans="1:8" ht="15" customHeight="1" x14ac:dyDescent="0.25">
      <c r="A64" s="16" t="s">
        <v>113</v>
      </c>
    </row>
    <row r="65" spans="1:1" ht="15" customHeight="1" x14ac:dyDescent="0.25">
      <c r="A65" s="16" t="s">
        <v>141</v>
      </c>
    </row>
    <row r="66" spans="1:1" ht="15" customHeight="1" x14ac:dyDescent="0.25">
      <c r="A66" s="16" t="s">
        <v>142</v>
      </c>
    </row>
    <row r="67" spans="1:1" ht="15" customHeight="1" x14ac:dyDescent="0.25">
      <c r="A67" s="1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topLeftCell="A97" zoomScaleNormal="100" zoomScalePageLayoutView="125" workbookViewId="0">
      <selection activeCell="J74" sqref="J74"/>
    </sheetView>
  </sheetViews>
  <sheetFormatPr defaultColWidth="8.85546875" defaultRowHeight="15" customHeight="1" x14ac:dyDescent="0.25"/>
  <cols>
    <col min="1" max="1" width="12.7109375" style="16" customWidth="1"/>
    <col min="2" max="2" width="82.85546875" customWidth="1"/>
    <col min="3" max="3" width="33.85546875" customWidth="1"/>
    <col min="4" max="4" width="10.28515625" customWidth="1"/>
    <col min="5" max="5" width="9.85546875" customWidth="1"/>
    <col min="6" max="7" width="15.5703125" customWidth="1"/>
    <col min="8" max="8" width="9.85546875" customWidth="1"/>
  </cols>
  <sheetData>
    <row r="1" spans="1:8" ht="60" customHeight="1" x14ac:dyDescent="0.25">
      <c r="A1" s="16" t="s">
        <v>128</v>
      </c>
    </row>
    <row r="2" spans="1:8" ht="15" customHeight="1" x14ac:dyDescent="0.25">
      <c r="A2" s="16" t="s">
        <v>342</v>
      </c>
    </row>
    <row r="3" spans="1:8" ht="15" customHeight="1" x14ac:dyDescent="0.25">
      <c r="A3" s="16" t="s">
        <v>343</v>
      </c>
    </row>
    <row r="4" spans="1:8" ht="15" customHeight="1" x14ac:dyDescent="0.25">
      <c r="A4" s="16" t="s">
        <v>143</v>
      </c>
      <c r="C4" s="27" t="s">
        <v>38</v>
      </c>
      <c r="D4" s="27" t="s">
        <v>39</v>
      </c>
      <c r="E4" s="27" t="s">
        <v>40</v>
      </c>
    </row>
    <row r="5" spans="1:8" s="3" customFormat="1" ht="15" customHeight="1" x14ac:dyDescent="0.25">
      <c r="A5" s="16" t="s">
        <v>144</v>
      </c>
      <c r="B5"/>
      <c r="C5" s="30" t="s">
        <v>88</v>
      </c>
      <c r="D5" s="10" t="s">
        <v>383</v>
      </c>
      <c r="E5" s="31" t="s">
        <v>41</v>
      </c>
      <c r="F5"/>
      <c r="G5"/>
      <c r="H5"/>
    </row>
    <row r="6" spans="1:8" s="3" customFormat="1" ht="15" customHeight="1" x14ac:dyDescent="0.25">
      <c r="A6" s="16" t="s">
        <v>288</v>
      </c>
      <c r="B6"/>
      <c r="C6" s="30" t="s">
        <v>95</v>
      </c>
      <c r="D6" s="49" t="s">
        <v>384</v>
      </c>
      <c r="E6" s="31" t="s">
        <v>379</v>
      </c>
      <c r="F6"/>
      <c r="G6"/>
      <c r="H6"/>
    </row>
    <row r="7" spans="1:8" s="3" customFormat="1" ht="15" customHeight="1" x14ac:dyDescent="0.25">
      <c r="A7" s="16" t="s">
        <v>125</v>
      </c>
      <c r="B7"/>
      <c r="C7" s="30" t="s">
        <v>90</v>
      </c>
      <c r="D7" s="49" t="s">
        <v>35</v>
      </c>
      <c r="E7" s="31" t="s">
        <v>380</v>
      </c>
      <c r="F7"/>
      <c r="G7"/>
      <c r="H7"/>
    </row>
    <row r="8" spans="1:8" s="3" customFormat="1" ht="15" customHeight="1" x14ac:dyDescent="0.25">
      <c r="A8" s="16"/>
      <c r="B8"/>
      <c r="C8" s="30" t="s">
        <v>89</v>
      </c>
      <c r="D8" s="49" t="s">
        <v>66</v>
      </c>
      <c r="E8" s="31" t="s">
        <v>381</v>
      </c>
      <c r="F8"/>
      <c r="G8"/>
      <c r="H8"/>
    </row>
    <row r="9" spans="1:8" s="3" customFormat="1" ht="15" customHeight="1" x14ac:dyDescent="0.25">
      <c r="A9" s="16"/>
      <c r="B9"/>
      <c r="C9" s="32" t="s">
        <v>100</v>
      </c>
      <c r="D9" s="44" t="s">
        <v>385</v>
      </c>
      <c r="E9" s="31" t="s">
        <v>382</v>
      </c>
      <c r="F9"/>
      <c r="G9"/>
      <c r="H9"/>
    </row>
    <row r="10" spans="1:8" s="3" customFormat="1" ht="15" customHeight="1" x14ac:dyDescent="0.25">
      <c r="A10" s="16"/>
      <c r="B10"/>
      <c r="C10"/>
      <c r="D10"/>
      <c r="E10"/>
      <c r="F10"/>
      <c r="G10"/>
      <c r="H10"/>
    </row>
    <row r="11" spans="1:8" s="3" customFormat="1" ht="15" customHeight="1" x14ac:dyDescent="0.25">
      <c r="A11" s="16"/>
      <c r="B11"/>
      <c r="C11"/>
      <c r="D11"/>
      <c r="E11"/>
      <c r="F11"/>
      <c r="G11"/>
      <c r="H11"/>
    </row>
    <row r="12" spans="1:8" s="3" customFormat="1" ht="15" customHeight="1" x14ac:dyDescent="0.25">
      <c r="A12" s="16"/>
      <c r="B12"/>
      <c r="C12"/>
      <c r="D12"/>
      <c r="E12"/>
      <c r="F12"/>
      <c r="G12"/>
      <c r="H12"/>
    </row>
    <row r="13" spans="1:8" s="3" customFormat="1" ht="15" customHeight="1" x14ac:dyDescent="0.25">
      <c r="A13" s="16"/>
      <c r="B13"/>
      <c r="C13"/>
      <c r="D13"/>
      <c r="E13"/>
      <c r="F13"/>
      <c r="G13"/>
      <c r="H13"/>
    </row>
    <row r="14" spans="1:8" s="3" customFormat="1" ht="15" customHeight="1" x14ac:dyDescent="0.25">
      <c r="A14" s="16"/>
      <c r="B14"/>
      <c r="C14"/>
      <c r="D14"/>
      <c r="E14"/>
      <c r="F14"/>
      <c r="G14"/>
      <c r="H14"/>
    </row>
    <row r="15" spans="1:8" s="3" customFormat="1" ht="15" customHeight="1" x14ac:dyDescent="0.25">
      <c r="A15" s="16"/>
      <c r="B15"/>
      <c r="C15"/>
      <c r="D15"/>
      <c r="E15"/>
      <c r="F15"/>
      <c r="G15"/>
      <c r="H15"/>
    </row>
    <row r="16" spans="1:8" s="3" customFormat="1" ht="15" customHeight="1" x14ac:dyDescent="0.25">
      <c r="A16" s="16"/>
      <c r="B16"/>
      <c r="C16"/>
      <c r="D16"/>
      <c r="E16"/>
      <c r="F16"/>
      <c r="G16"/>
      <c r="H16"/>
    </row>
    <row r="17" spans="1:8" s="3" customFormat="1" ht="15" customHeight="1" x14ac:dyDescent="0.25">
      <c r="A17" s="16"/>
      <c r="B17"/>
      <c r="C17"/>
      <c r="D17"/>
      <c r="E17"/>
      <c r="F17"/>
      <c r="G17"/>
      <c r="H17"/>
    </row>
    <row r="18" spans="1:8" s="3" customFormat="1" ht="15" customHeight="1" x14ac:dyDescent="0.25">
      <c r="A18" s="16"/>
      <c r="B18"/>
      <c r="C18"/>
      <c r="D18"/>
      <c r="E18"/>
      <c r="F18"/>
      <c r="G18"/>
      <c r="H18"/>
    </row>
    <row r="19" spans="1:8" s="3" customFormat="1" ht="15" customHeight="1" x14ac:dyDescent="0.25">
      <c r="A19" s="16"/>
      <c r="B19"/>
      <c r="C19"/>
      <c r="D19"/>
      <c r="E19"/>
      <c r="F19"/>
      <c r="G19"/>
      <c r="H19"/>
    </row>
    <row r="20" spans="1:8" s="3" customFormat="1" ht="15" customHeight="1" x14ac:dyDescent="0.25">
      <c r="A20" s="16"/>
      <c r="B20"/>
      <c r="C20"/>
      <c r="D20"/>
      <c r="E20"/>
      <c r="F20"/>
      <c r="G20"/>
      <c r="H20"/>
    </row>
    <row r="21" spans="1:8" s="3" customFormat="1" ht="15" customHeight="1" x14ac:dyDescent="0.25">
      <c r="A21" s="16"/>
      <c r="B21"/>
      <c r="C21"/>
      <c r="D21"/>
      <c r="E21"/>
      <c r="F21"/>
      <c r="G21"/>
      <c r="H21"/>
    </row>
    <row r="22" spans="1:8" s="3" customFormat="1" ht="15" customHeight="1" x14ac:dyDescent="0.25">
      <c r="A22" s="16"/>
      <c r="B22"/>
    </row>
    <row r="23" spans="1:8" s="3" customFormat="1" ht="15" customHeight="1" x14ac:dyDescent="0.25">
      <c r="A23" s="16"/>
      <c r="B23"/>
    </row>
    <row r="24" spans="1:8" s="3" customFormat="1" ht="15" customHeight="1" x14ac:dyDescent="0.25">
      <c r="A24" s="16"/>
      <c r="B24"/>
    </row>
    <row r="27" spans="1:8" ht="15" customHeight="1" x14ac:dyDescent="0.25">
      <c r="A27" s="16" t="s">
        <v>145</v>
      </c>
    </row>
    <row r="28" spans="1:8" ht="15" customHeight="1" x14ac:dyDescent="0.25">
      <c r="A28" s="16" t="s">
        <v>146</v>
      </c>
    </row>
    <row r="29" spans="1:8" ht="15" customHeight="1" x14ac:dyDescent="0.25">
      <c r="A29" s="16" t="s">
        <v>289</v>
      </c>
    </row>
    <row r="30" spans="1:8" ht="15" customHeight="1" x14ac:dyDescent="0.25">
      <c r="A30" s="16" t="s">
        <v>290</v>
      </c>
    </row>
    <row r="31" spans="1:8" ht="15" customHeight="1" x14ac:dyDescent="0.25">
      <c r="A31" s="16" t="s">
        <v>291</v>
      </c>
      <c r="C31" s="27" t="s">
        <v>42</v>
      </c>
      <c r="D31" s="27" t="s">
        <v>39</v>
      </c>
      <c r="E31" s="27" t="s">
        <v>40</v>
      </c>
      <c r="F31" s="45" t="s">
        <v>99</v>
      </c>
    </row>
    <row r="32" spans="1:8" ht="15" customHeight="1" x14ac:dyDescent="0.25">
      <c r="A32" s="16" t="s">
        <v>292</v>
      </c>
      <c r="C32" s="8" t="s">
        <v>91</v>
      </c>
      <c r="D32" t="s">
        <v>386</v>
      </c>
      <c r="E32" t="s">
        <v>41</v>
      </c>
      <c r="F32" t="s">
        <v>394</v>
      </c>
    </row>
    <row r="33" spans="1:6" ht="15" customHeight="1" x14ac:dyDescent="0.25">
      <c r="A33" s="16" t="s">
        <v>293</v>
      </c>
      <c r="C33" s="8" t="s">
        <v>92</v>
      </c>
      <c r="D33" t="s">
        <v>387</v>
      </c>
      <c r="E33" t="s">
        <v>379</v>
      </c>
      <c r="F33" t="s">
        <v>395</v>
      </c>
    </row>
    <row r="34" spans="1:6" ht="15" customHeight="1" x14ac:dyDescent="0.25">
      <c r="A34" s="16" t="s">
        <v>294</v>
      </c>
      <c r="C34" s="8" t="s">
        <v>93</v>
      </c>
      <c r="D34" t="s">
        <v>388</v>
      </c>
      <c r="E34" t="s">
        <v>380</v>
      </c>
      <c r="F34" t="s">
        <v>396</v>
      </c>
    </row>
    <row r="35" spans="1:6" ht="15" customHeight="1" x14ac:dyDescent="0.25">
      <c r="A35" s="16" t="s">
        <v>147</v>
      </c>
      <c r="C35" s="8" t="s">
        <v>94</v>
      </c>
      <c r="D35" t="s">
        <v>389</v>
      </c>
      <c r="E35" t="s">
        <v>381</v>
      </c>
      <c r="F35" t="s">
        <v>394</v>
      </c>
    </row>
    <row r="36" spans="1:6" ht="15" customHeight="1" x14ac:dyDescent="0.25">
      <c r="C36" s="8" t="s">
        <v>96</v>
      </c>
      <c r="D36" t="s">
        <v>390</v>
      </c>
      <c r="E36" t="s">
        <v>397</v>
      </c>
      <c r="F36" t="s">
        <v>396</v>
      </c>
    </row>
    <row r="37" spans="1:6" ht="15" customHeight="1" x14ac:dyDescent="0.25">
      <c r="C37" s="8" t="s">
        <v>97</v>
      </c>
      <c r="D37" t="s">
        <v>391</v>
      </c>
      <c r="E37" t="s">
        <v>398</v>
      </c>
      <c r="F37" t="s">
        <v>395</v>
      </c>
    </row>
    <row r="38" spans="1:6" ht="15" customHeight="1" x14ac:dyDescent="0.25">
      <c r="C38" s="8" t="s">
        <v>98</v>
      </c>
      <c r="D38" t="s">
        <v>392</v>
      </c>
      <c r="E38" t="s">
        <v>399</v>
      </c>
      <c r="F38" t="s">
        <v>396</v>
      </c>
    </row>
    <row r="39" spans="1:6" ht="15" customHeight="1" x14ac:dyDescent="0.25">
      <c r="C39" s="29" t="s">
        <v>102</v>
      </c>
      <c r="D39" t="s">
        <v>393</v>
      </c>
      <c r="E39" t="s">
        <v>382</v>
      </c>
      <c r="F39" t="s">
        <v>394</v>
      </c>
    </row>
    <row r="40" spans="1:6" ht="15" customHeight="1" x14ac:dyDescent="0.25">
      <c r="C40" s="11"/>
      <c r="E40" s="11"/>
      <c r="F40" s="11"/>
    </row>
    <row r="49" spans="1:8" ht="15" customHeight="1" x14ac:dyDescent="0.25">
      <c r="A49" s="16" t="s">
        <v>148</v>
      </c>
    </row>
    <row r="50" spans="1:8" ht="15" customHeight="1" x14ac:dyDescent="0.25">
      <c r="A50" s="16" t="s">
        <v>149</v>
      </c>
    </row>
    <row r="51" spans="1:8" ht="15" customHeight="1" x14ac:dyDescent="0.25">
      <c r="A51" s="16" t="s">
        <v>370</v>
      </c>
    </row>
    <row r="52" spans="1:8" ht="15" customHeight="1" x14ac:dyDescent="0.25">
      <c r="A52" s="16" t="s">
        <v>155</v>
      </c>
    </row>
    <row r="53" spans="1:8" ht="15" customHeight="1" x14ac:dyDescent="0.25">
      <c r="A53" s="16" t="s">
        <v>150</v>
      </c>
    </row>
    <row r="54" spans="1:8" ht="15" customHeight="1" x14ac:dyDescent="0.25">
      <c r="A54" s="16" t="s">
        <v>151</v>
      </c>
    </row>
    <row r="55" spans="1:8" ht="15" customHeight="1" x14ac:dyDescent="0.25">
      <c r="A55" s="16" t="s">
        <v>152</v>
      </c>
      <c r="C55" s="27" t="s">
        <v>62</v>
      </c>
      <c r="E55" s="27" t="s">
        <v>39</v>
      </c>
      <c r="F55" s="45" t="s">
        <v>43</v>
      </c>
      <c r="G55" s="27" t="s">
        <v>101</v>
      </c>
      <c r="H55" s="27" t="s">
        <v>40</v>
      </c>
    </row>
    <row r="56" spans="1:8" ht="15" customHeight="1" x14ac:dyDescent="0.25">
      <c r="A56" s="16" t="s">
        <v>153</v>
      </c>
      <c r="C56" s="6" t="s">
        <v>44</v>
      </c>
      <c r="E56" s="7" t="str">
        <f>LEFT(C56,FIND(" ",C56)-1)</f>
        <v>Yvonne</v>
      </c>
      <c r="F56" s="7" t="str">
        <f>RIGHT(C56,LEN(C56)-FIND(" ",C56))</f>
        <v>Francis McKay</v>
      </c>
      <c r="G56" s="7" t="str">
        <f>LEFT(F56,FIND(" ",F56)-1)</f>
        <v>Francis</v>
      </c>
      <c r="H56" s="7" t="str">
        <f>RIGHT(F56,LEN(F56)-FIND(" ",F56))</f>
        <v>McKay</v>
      </c>
    </row>
    <row r="57" spans="1:8" ht="15" customHeight="1" x14ac:dyDescent="0.25">
      <c r="A57" s="16" t="s">
        <v>371</v>
      </c>
    </row>
    <row r="58" spans="1:8" ht="15" customHeight="1" x14ac:dyDescent="0.25">
      <c r="A58" s="16" t="s">
        <v>154</v>
      </c>
    </row>
    <row r="59" spans="1:8" ht="15" customHeight="1" x14ac:dyDescent="0.25">
      <c r="A59" s="16" t="s">
        <v>156</v>
      </c>
    </row>
    <row r="60" spans="1:8" ht="15" customHeight="1" x14ac:dyDescent="0.25">
      <c r="A60" s="16" t="s">
        <v>157</v>
      </c>
    </row>
    <row r="61" spans="1:8" ht="15" customHeight="1" x14ac:dyDescent="0.25">
      <c r="A61" s="16" t="s">
        <v>295</v>
      </c>
    </row>
    <row r="62" spans="1:8" ht="15" customHeight="1" x14ac:dyDescent="0.25">
      <c r="A62" s="16" t="s">
        <v>372</v>
      </c>
    </row>
    <row r="63" spans="1:8" ht="15" customHeight="1" x14ac:dyDescent="0.25">
      <c r="A63" s="16" t="s">
        <v>177</v>
      </c>
    </row>
    <row r="79" spans="1:1" ht="15" customHeight="1" x14ac:dyDescent="0.25">
      <c r="A79" s="16" t="s">
        <v>113</v>
      </c>
    </row>
    <row r="80" spans="1:1" ht="15" customHeight="1" x14ac:dyDescent="0.25">
      <c r="A80" s="16" t="s">
        <v>158</v>
      </c>
    </row>
    <row r="81" spans="1:1" ht="15" customHeight="1" x14ac:dyDescent="0.25">
      <c r="A81" s="16" t="s">
        <v>159</v>
      </c>
    </row>
    <row r="82" spans="1:1" ht="15" customHeight="1" x14ac:dyDescent="0.25">
      <c r="A82" s="16" t="s">
        <v>160</v>
      </c>
    </row>
    <row r="83" spans="1:1" ht="15" customHeight="1" x14ac:dyDescent="0.25">
      <c r="A83" s="16" t="s">
        <v>161</v>
      </c>
    </row>
    <row r="84" spans="1:1" ht="15" customHeight="1" x14ac:dyDescent="0.25">
      <c r="A84" s="16" t="s">
        <v>162</v>
      </c>
    </row>
    <row r="85" spans="1:1" ht="15" customHeight="1" x14ac:dyDescent="0.25">
      <c r="A85" s="16" t="s">
        <v>163</v>
      </c>
    </row>
    <row r="86" spans="1:1" ht="15" customHeight="1" x14ac:dyDescent="0.25">
      <c r="A86" s="16" t="s">
        <v>112</v>
      </c>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topLeftCell="A58" zoomScaleNormal="100" zoomScalePageLayoutView="125" workbookViewId="0">
      <selection activeCell="I40" sqref="I40"/>
    </sheetView>
  </sheetViews>
  <sheetFormatPr defaultColWidth="8.85546875" defaultRowHeight="15" customHeight="1" x14ac:dyDescent="0.25"/>
  <cols>
    <col min="1" max="1" width="12.7109375" style="16" customWidth="1"/>
    <col min="2" max="2" width="82.85546875" customWidth="1"/>
  </cols>
  <sheetData>
    <row r="1" spans="1:8" ht="60" customHeight="1" x14ac:dyDescent="0.25">
      <c r="A1" s="16" t="s">
        <v>129</v>
      </c>
    </row>
    <row r="2" spans="1:8" ht="15" customHeight="1" x14ac:dyDescent="0.25">
      <c r="A2" s="16" t="s">
        <v>164</v>
      </c>
    </row>
    <row r="3" spans="1:8" ht="15" customHeight="1" x14ac:dyDescent="0.25">
      <c r="A3" s="16" t="s">
        <v>165</v>
      </c>
    </row>
    <row r="4" spans="1:8" ht="15" customHeight="1" x14ac:dyDescent="0.25">
      <c r="A4" s="16" t="s">
        <v>166</v>
      </c>
    </row>
    <row r="5" spans="1:8" s="3" customFormat="1" ht="15" customHeight="1" x14ac:dyDescent="0.25">
      <c r="A5" s="16" t="s">
        <v>167</v>
      </c>
      <c r="B5"/>
      <c r="C5" s="27" t="s">
        <v>11</v>
      </c>
      <c r="D5" s="6" t="s">
        <v>12</v>
      </c>
      <c r="E5" s="6" t="s">
        <v>13</v>
      </c>
      <c r="F5" s="6" t="s">
        <v>14</v>
      </c>
      <c r="G5" s="6" t="s">
        <v>15</v>
      </c>
      <c r="H5" s="6" t="s">
        <v>16</v>
      </c>
    </row>
    <row r="6" spans="1:8" s="3" customFormat="1" ht="15" customHeight="1" x14ac:dyDescent="0.25">
      <c r="A6" s="16" t="s">
        <v>296</v>
      </c>
      <c r="B6"/>
      <c r="C6" s="27" t="s">
        <v>1</v>
      </c>
      <c r="D6" s="6">
        <v>50</v>
      </c>
      <c r="E6" s="6">
        <v>100</v>
      </c>
      <c r="F6" s="6">
        <v>40</v>
      </c>
      <c r="G6" s="6">
        <v>50</v>
      </c>
      <c r="H6" s="6">
        <v>20</v>
      </c>
    </row>
    <row r="7" spans="1:8" s="3" customFormat="1" ht="15" customHeight="1" x14ac:dyDescent="0.25">
      <c r="A7" s="16" t="s">
        <v>297</v>
      </c>
      <c r="B7"/>
      <c r="C7"/>
      <c r="D7"/>
      <c r="E7"/>
      <c r="F7"/>
      <c r="G7"/>
      <c r="H7"/>
    </row>
    <row r="8" spans="1:8" s="3" customFormat="1" ht="15" customHeight="1" x14ac:dyDescent="0.25">
      <c r="A8" s="16" t="s">
        <v>168</v>
      </c>
      <c r="B8"/>
      <c r="C8"/>
      <c r="D8"/>
      <c r="E8"/>
      <c r="F8"/>
      <c r="G8"/>
      <c r="H8"/>
    </row>
    <row r="9" spans="1:8" s="3" customFormat="1" ht="15" customHeight="1" x14ac:dyDescent="0.25">
      <c r="A9" s="16" t="s">
        <v>118</v>
      </c>
      <c r="B9" t="s">
        <v>169</v>
      </c>
      <c r="C9" s="27" t="s">
        <v>11</v>
      </c>
      <c r="D9" s="6" t="s">
        <v>12</v>
      </c>
      <c r="E9" s="6" t="s">
        <v>13</v>
      </c>
      <c r="F9" s="6" t="s">
        <v>14</v>
      </c>
      <c r="G9" s="6" t="s">
        <v>15</v>
      </c>
      <c r="H9" s="6" t="s">
        <v>16</v>
      </c>
    </row>
    <row r="10" spans="1:8" s="3" customFormat="1" ht="15" customHeight="1" x14ac:dyDescent="0.25">
      <c r="A10" s="16"/>
      <c r="B10"/>
      <c r="C10" s="27" t="s">
        <v>1</v>
      </c>
      <c r="D10" s="6">
        <v>100</v>
      </c>
      <c r="E10" s="6">
        <v>200</v>
      </c>
      <c r="F10" s="6">
        <v>80</v>
      </c>
      <c r="G10" s="6">
        <v>100</v>
      </c>
      <c r="H10" s="6">
        <v>40</v>
      </c>
    </row>
    <row r="11" spans="1:8" s="3" customFormat="1" ht="15" customHeight="1" x14ac:dyDescent="0.25">
      <c r="A11" s="16"/>
      <c r="B11"/>
      <c r="C11"/>
      <c r="D11"/>
      <c r="E11"/>
      <c r="F11"/>
      <c r="G11"/>
      <c r="H11"/>
    </row>
    <row r="12" spans="1:8" s="3" customFormat="1" ht="15" customHeight="1" x14ac:dyDescent="0.25">
      <c r="A12" s="16"/>
      <c r="B12"/>
      <c r="C12"/>
      <c r="D12"/>
      <c r="E12"/>
      <c r="F12"/>
      <c r="G12"/>
      <c r="H12"/>
    </row>
    <row r="13" spans="1:8" s="3" customFormat="1" ht="15" customHeight="1" x14ac:dyDescent="0.25">
      <c r="A13" s="16"/>
      <c r="B13"/>
      <c r="C13"/>
      <c r="D13"/>
      <c r="E13"/>
      <c r="F13"/>
      <c r="G13"/>
      <c r="H13"/>
    </row>
    <row r="14" spans="1:8" s="3" customFormat="1" ht="15" customHeight="1" x14ac:dyDescent="0.25">
      <c r="A14" s="16"/>
      <c r="B14"/>
      <c r="C14"/>
      <c r="D14"/>
      <c r="E14"/>
      <c r="F14"/>
      <c r="G14"/>
      <c r="H14"/>
    </row>
    <row r="15" spans="1:8" s="3" customFormat="1" ht="15" customHeight="1" x14ac:dyDescent="0.25">
      <c r="A15" s="16"/>
      <c r="B15"/>
      <c r="C15"/>
      <c r="D15"/>
      <c r="E15"/>
      <c r="F15"/>
      <c r="G15"/>
      <c r="H15"/>
    </row>
    <row r="16" spans="1:8" s="3" customFormat="1" ht="15" customHeight="1" x14ac:dyDescent="0.25">
      <c r="A16" s="16"/>
      <c r="B16"/>
      <c r="C16" s="27" t="s">
        <v>11</v>
      </c>
      <c r="D16" s="6" t="s">
        <v>12</v>
      </c>
      <c r="E16" s="6" t="s">
        <v>13</v>
      </c>
      <c r="F16" s="6" t="s">
        <v>14</v>
      </c>
      <c r="G16" s="6" t="s">
        <v>15</v>
      </c>
      <c r="H16" s="6" t="s">
        <v>16</v>
      </c>
    </row>
    <row r="17" spans="1:8" s="3" customFormat="1" ht="15" customHeight="1" x14ac:dyDescent="0.25">
      <c r="A17" s="16"/>
      <c r="B17"/>
      <c r="C17" s="27" t="s">
        <v>1</v>
      </c>
      <c r="D17" s="6">
        <v>50</v>
      </c>
      <c r="E17" s="6">
        <v>100</v>
      </c>
      <c r="F17" s="6">
        <v>40</v>
      </c>
      <c r="G17" s="6">
        <v>50</v>
      </c>
      <c r="H17" s="6">
        <v>20</v>
      </c>
    </row>
    <row r="18" spans="1:8" s="3" customFormat="1" ht="15" customHeight="1" x14ac:dyDescent="0.25">
      <c r="A18" s="16"/>
      <c r="B18"/>
      <c r="C18"/>
      <c r="D18"/>
      <c r="E18"/>
      <c r="F18"/>
      <c r="G18"/>
      <c r="H18"/>
    </row>
    <row r="19" spans="1:8" s="3" customFormat="1" ht="15" customHeight="1" x14ac:dyDescent="0.25">
      <c r="A19" s="16"/>
      <c r="B19"/>
      <c r="C19"/>
      <c r="D19"/>
      <c r="E19"/>
      <c r="F19"/>
      <c r="G19"/>
      <c r="H19"/>
    </row>
    <row r="20" spans="1:8" s="3" customFormat="1" ht="15" customHeight="1" x14ac:dyDescent="0.25">
      <c r="A20" s="16"/>
      <c r="B20"/>
      <c r="C20"/>
      <c r="D20"/>
      <c r="E20"/>
      <c r="F20"/>
      <c r="G20"/>
      <c r="H20"/>
    </row>
    <row r="21" spans="1:8" s="3" customFormat="1" ht="15" customHeight="1" x14ac:dyDescent="0.25">
      <c r="A21" s="16"/>
      <c r="B21"/>
      <c r="C21"/>
      <c r="D21"/>
      <c r="E21"/>
      <c r="F21"/>
      <c r="G21"/>
      <c r="H21"/>
    </row>
    <row r="22" spans="1:8" s="3" customFormat="1" ht="15" customHeight="1" x14ac:dyDescent="0.25">
      <c r="A22" s="16"/>
      <c r="B22"/>
    </row>
    <row r="23" spans="1:8" s="3" customFormat="1" ht="15" customHeight="1" x14ac:dyDescent="0.25">
      <c r="A23" s="16"/>
      <c r="B23"/>
    </row>
    <row r="24" spans="1:8" s="3" customFormat="1" ht="15" customHeight="1" x14ac:dyDescent="0.25">
      <c r="A24" s="16"/>
      <c r="B24"/>
    </row>
    <row r="27" spans="1:8" ht="15" customHeight="1" x14ac:dyDescent="0.25">
      <c r="A27" s="16" t="s">
        <v>171</v>
      </c>
    </row>
    <row r="28" spans="1:8" ht="15" customHeight="1" x14ac:dyDescent="0.25">
      <c r="A28" s="16" t="s">
        <v>172</v>
      </c>
    </row>
    <row r="29" spans="1:8" ht="15" customHeight="1" x14ac:dyDescent="0.25">
      <c r="A29" s="16" t="s">
        <v>344</v>
      </c>
    </row>
    <row r="30" spans="1:8" ht="15" customHeight="1" x14ac:dyDescent="0.25">
      <c r="A30" s="46" t="s">
        <v>353</v>
      </c>
    </row>
    <row r="31" spans="1:8" ht="15" customHeight="1" x14ac:dyDescent="0.25">
      <c r="A31" s="16" t="s">
        <v>173</v>
      </c>
    </row>
    <row r="32" spans="1:8" ht="15" customHeight="1" x14ac:dyDescent="0.25">
      <c r="A32" s="16" t="s">
        <v>174</v>
      </c>
    </row>
    <row r="33" spans="1:8" ht="15" customHeight="1" x14ac:dyDescent="0.25">
      <c r="A33" s="16" t="s">
        <v>178</v>
      </c>
      <c r="C33" s="27" t="s">
        <v>11</v>
      </c>
      <c r="D33" s="6" t="s">
        <v>12</v>
      </c>
      <c r="E33" s="6" t="s">
        <v>13</v>
      </c>
      <c r="F33" s="6" t="s">
        <v>14</v>
      </c>
      <c r="G33" s="6" t="s">
        <v>15</v>
      </c>
      <c r="H33" s="6" t="s">
        <v>16</v>
      </c>
    </row>
    <row r="34" spans="1:8" ht="15" customHeight="1" x14ac:dyDescent="0.25">
      <c r="C34" s="27" t="s">
        <v>1</v>
      </c>
      <c r="D34" s="6">
        <v>50</v>
      </c>
      <c r="E34" s="6">
        <v>100</v>
      </c>
      <c r="F34" s="6">
        <v>40</v>
      </c>
      <c r="G34" s="6">
        <v>50</v>
      </c>
      <c r="H34" s="6">
        <v>20</v>
      </c>
    </row>
    <row r="40" spans="1:8" ht="15" customHeight="1" x14ac:dyDescent="0.25">
      <c r="C40" s="27" t="s">
        <v>400</v>
      </c>
      <c r="D40" s="27" t="s">
        <v>1</v>
      </c>
    </row>
    <row r="41" spans="1:8" ht="15" customHeight="1" x14ac:dyDescent="0.25">
      <c r="C41" s="6" t="s">
        <v>12</v>
      </c>
      <c r="D41" s="6">
        <v>50</v>
      </c>
    </row>
    <row r="42" spans="1:8" ht="15" customHeight="1" x14ac:dyDescent="0.25">
      <c r="C42" s="6" t="s">
        <v>13</v>
      </c>
      <c r="D42" s="6">
        <v>100</v>
      </c>
    </row>
    <row r="43" spans="1:8" ht="15" customHeight="1" x14ac:dyDescent="0.25">
      <c r="C43" s="6" t="s">
        <v>14</v>
      </c>
      <c r="D43" s="6">
        <v>40</v>
      </c>
    </row>
    <row r="44" spans="1:8" ht="15" customHeight="1" x14ac:dyDescent="0.25">
      <c r="C44" s="6" t="s">
        <v>15</v>
      </c>
      <c r="D44" s="6">
        <v>50</v>
      </c>
    </row>
    <row r="45" spans="1:8" ht="15" customHeight="1" x14ac:dyDescent="0.25">
      <c r="C45" s="6" t="s">
        <v>16</v>
      </c>
      <c r="D45" s="6">
        <v>20</v>
      </c>
    </row>
    <row r="54" spans="1:1" ht="15" customHeight="1" x14ac:dyDescent="0.25">
      <c r="A54" s="16" t="s">
        <v>179</v>
      </c>
    </row>
    <row r="55" spans="1:1" ht="15" customHeight="1" x14ac:dyDescent="0.25">
      <c r="A55" s="16" t="s">
        <v>180</v>
      </c>
    </row>
    <row r="56" spans="1:1" ht="15" customHeight="1" x14ac:dyDescent="0.25">
      <c r="A56" s="16" t="s">
        <v>181</v>
      </c>
    </row>
    <row r="57" spans="1:1" ht="15" customHeight="1" x14ac:dyDescent="0.25">
      <c r="A57" s="16" t="s">
        <v>175</v>
      </c>
    </row>
    <row r="58" spans="1:1" ht="15" customHeight="1" x14ac:dyDescent="0.25">
      <c r="A58" s="16" t="s">
        <v>176</v>
      </c>
    </row>
    <row r="59" spans="1:1" ht="15" customHeight="1" x14ac:dyDescent="0.25">
      <c r="A59" s="16" t="s">
        <v>182</v>
      </c>
    </row>
    <row r="72" spans="1:1" ht="15" customHeight="1" x14ac:dyDescent="0.25">
      <c r="A72" s="16" t="s">
        <v>113</v>
      </c>
    </row>
    <row r="73" spans="1:1" ht="15" customHeight="1" x14ac:dyDescent="0.25">
      <c r="A73" s="16" t="s">
        <v>183</v>
      </c>
    </row>
    <row r="74" spans="1:1" ht="15" customHeight="1" x14ac:dyDescent="0.25">
      <c r="A74" s="16" t="s">
        <v>184</v>
      </c>
    </row>
    <row r="75" spans="1:1" ht="15" customHeight="1" x14ac:dyDescent="0.25">
      <c r="A75" s="16" t="s">
        <v>185</v>
      </c>
    </row>
    <row r="76" spans="1:1" ht="15" customHeight="1" x14ac:dyDescent="0.25">
      <c r="A76" s="16" t="s">
        <v>112</v>
      </c>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A61" zoomScaleNormal="100" zoomScalePageLayoutView="125" workbookViewId="0">
      <selection activeCell="G41" sqref="G41"/>
    </sheetView>
  </sheetViews>
  <sheetFormatPr defaultColWidth="8.85546875" defaultRowHeight="15" customHeight="1" x14ac:dyDescent="0.25"/>
  <cols>
    <col min="1" max="1" width="12.7109375" style="16" customWidth="1"/>
    <col min="2" max="2" width="82.85546875" customWidth="1"/>
    <col min="3" max="3" width="15.140625" customWidth="1"/>
    <col min="4" max="4" width="12.5703125" customWidth="1"/>
    <col min="5" max="5" width="8.28515625" customWidth="1"/>
    <col min="6" max="6" width="9.28515625" customWidth="1"/>
    <col min="7" max="7" width="10.85546875" customWidth="1"/>
  </cols>
  <sheetData>
    <row r="1" spans="1:7" ht="60" customHeight="1" x14ac:dyDescent="0.25">
      <c r="A1" s="16" t="s">
        <v>130</v>
      </c>
    </row>
    <row r="2" spans="1:7" ht="15" customHeight="1" x14ac:dyDescent="0.25">
      <c r="A2" s="16" t="s">
        <v>304</v>
      </c>
    </row>
    <row r="3" spans="1:7" ht="15" customHeight="1" x14ac:dyDescent="0.25">
      <c r="A3" s="16" t="s">
        <v>298</v>
      </c>
    </row>
    <row r="4" spans="1:7" ht="15" customHeight="1" x14ac:dyDescent="0.25">
      <c r="A4" s="16" t="s">
        <v>299</v>
      </c>
    </row>
    <row r="5" spans="1:7" s="3" customFormat="1" ht="15" customHeight="1" x14ac:dyDescent="0.25">
      <c r="A5" s="16" t="s">
        <v>300</v>
      </c>
      <c r="B5"/>
      <c r="C5" s="27" t="s">
        <v>46</v>
      </c>
      <c r="D5" s="27" t="s">
        <v>26</v>
      </c>
      <c r="E5" s="27" t="s">
        <v>47</v>
      </c>
      <c r="F5" s="27" t="s">
        <v>48</v>
      </c>
      <c r="G5" s="27" t="s">
        <v>49</v>
      </c>
    </row>
    <row r="6" spans="1:7" s="3" customFormat="1" ht="15" customHeight="1" x14ac:dyDescent="0.25">
      <c r="A6" s="16" t="s">
        <v>301</v>
      </c>
      <c r="B6"/>
      <c r="C6" t="s">
        <v>28</v>
      </c>
      <c r="D6" t="s">
        <v>50</v>
      </c>
      <c r="E6" s="35">
        <v>30000</v>
      </c>
      <c r="F6" s="35">
        <v>80000</v>
      </c>
      <c r="G6" s="35">
        <v>30000</v>
      </c>
    </row>
    <row r="7" spans="1:7" s="3" customFormat="1" ht="15" customHeight="1" x14ac:dyDescent="0.25">
      <c r="A7" s="16" t="s">
        <v>302</v>
      </c>
      <c r="B7"/>
      <c r="C7" t="s">
        <v>53</v>
      </c>
      <c r="D7" t="s">
        <v>64</v>
      </c>
      <c r="E7" s="35">
        <v>80000</v>
      </c>
      <c r="F7" s="35">
        <v>40000</v>
      </c>
      <c r="G7" s="35">
        <v>20000</v>
      </c>
    </row>
    <row r="8" spans="1:7" s="3" customFormat="1" ht="15" customHeight="1" x14ac:dyDescent="0.25">
      <c r="A8" s="16" t="s">
        <v>118</v>
      </c>
      <c r="B8"/>
      <c r="C8" s="6" t="s">
        <v>53</v>
      </c>
      <c r="D8" s="6" t="s">
        <v>54</v>
      </c>
      <c r="E8" s="48">
        <v>90000</v>
      </c>
      <c r="F8" s="48">
        <v>35000</v>
      </c>
      <c r="G8" s="48">
        <v>25000</v>
      </c>
    </row>
    <row r="9" spans="1:7" s="3" customFormat="1" ht="15" customHeight="1" x14ac:dyDescent="0.25">
      <c r="A9" s="16"/>
      <c r="B9"/>
      <c r="C9" s="6" t="s">
        <v>28</v>
      </c>
      <c r="D9" s="6" t="s">
        <v>0</v>
      </c>
      <c r="E9" s="48">
        <v>10000</v>
      </c>
      <c r="F9" s="48">
        <v>30000</v>
      </c>
      <c r="G9" s="48">
        <v>40000</v>
      </c>
    </row>
    <row r="10" spans="1:7" s="3" customFormat="1" ht="15" customHeight="1" x14ac:dyDescent="0.25">
      <c r="A10" s="16"/>
      <c r="B10"/>
      <c r="C10" t="s">
        <v>45</v>
      </c>
      <c r="D10" t="s">
        <v>52</v>
      </c>
      <c r="E10" s="35">
        <v>25000</v>
      </c>
      <c r="F10" s="35">
        <v>80000</v>
      </c>
      <c r="G10" s="35">
        <v>120000</v>
      </c>
    </row>
    <row r="11" spans="1:7" s="3" customFormat="1" ht="15" customHeight="1" x14ac:dyDescent="0.25">
      <c r="A11" s="16"/>
      <c r="B11"/>
      <c r="C11" t="s">
        <v>6</v>
      </c>
      <c r="D11" t="s">
        <v>8</v>
      </c>
      <c r="E11" s="35">
        <v>75000</v>
      </c>
      <c r="F11" s="35">
        <v>82000</v>
      </c>
      <c r="G11" s="35">
        <v>2000000</v>
      </c>
    </row>
    <row r="12" spans="1:7" s="3" customFormat="1" ht="15" customHeight="1" x14ac:dyDescent="0.25">
      <c r="A12" s="16"/>
      <c r="B12"/>
      <c r="C12" s="5" t="s">
        <v>45</v>
      </c>
      <c r="D12" s="5" t="s">
        <v>51</v>
      </c>
      <c r="E12" s="28">
        <v>30000</v>
      </c>
      <c r="F12" s="28">
        <v>15000</v>
      </c>
      <c r="G12" s="28">
        <v>20000</v>
      </c>
    </row>
    <row r="13" spans="1:7" s="3" customFormat="1" ht="15" customHeight="1" x14ac:dyDescent="0.25">
      <c r="A13" s="16"/>
      <c r="B13"/>
      <c r="C13" s="6" t="s">
        <v>6</v>
      </c>
      <c r="D13" s="6" t="s">
        <v>7</v>
      </c>
      <c r="E13" s="48">
        <v>90000</v>
      </c>
      <c r="F13" s="48">
        <v>110000</v>
      </c>
      <c r="G13" s="48">
        <v>120000</v>
      </c>
    </row>
    <row r="14" spans="1:7" s="3" customFormat="1" ht="15" customHeight="1" x14ac:dyDescent="0.25">
      <c r="A14" s="16"/>
      <c r="B14"/>
      <c r="C14"/>
      <c r="D14"/>
      <c r="E14"/>
      <c r="F14"/>
      <c r="G14"/>
    </row>
    <row r="15" spans="1:7" s="3" customFormat="1" ht="15" customHeight="1" x14ac:dyDescent="0.25">
      <c r="A15" s="16"/>
      <c r="B15"/>
      <c r="C15"/>
      <c r="D15"/>
      <c r="E15"/>
      <c r="F15"/>
      <c r="G15"/>
    </row>
    <row r="16" spans="1:7" s="3" customFormat="1" ht="15" customHeight="1" x14ac:dyDescent="0.25">
      <c r="A16" s="16"/>
      <c r="B16"/>
      <c r="C16"/>
      <c r="D16"/>
      <c r="E16"/>
      <c r="F16"/>
      <c r="G16"/>
    </row>
    <row r="17" spans="1:7" s="3" customFormat="1" ht="15" customHeight="1" x14ac:dyDescent="0.25">
      <c r="A17" s="16"/>
      <c r="B17"/>
      <c r="C17"/>
      <c r="D17"/>
      <c r="E17"/>
      <c r="F17"/>
      <c r="G17"/>
    </row>
    <row r="18" spans="1:7" s="3" customFormat="1" ht="15" customHeight="1" x14ac:dyDescent="0.25">
      <c r="A18" s="16"/>
      <c r="B18"/>
      <c r="C18"/>
      <c r="D18"/>
      <c r="E18"/>
      <c r="F18"/>
      <c r="G18"/>
    </row>
    <row r="19" spans="1:7" s="3" customFormat="1" ht="15" customHeight="1" x14ac:dyDescent="0.25">
      <c r="A19" s="16"/>
      <c r="B19"/>
      <c r="C19"/>
      <c r="D19"/>
      <c r="E19"/>
      <c r="F19"/>
      <c r="G19"/>
    </row>
    <row r="20" spans="1:7" s="3" customFormat="1" ht="15" customHeight="1" x14ac:dyDescent="0.25">
      <c r="A20" s="16"/>
      <c r="B20"/>
      <c r="C20"/>
      <c r="D20"/>
      <c r="E20"/>
      <c r="F20"/>
      <c r="G20"/>
    </row>
    <row r="21" spans="1:7" s="3" customFormat="1" ht="15" customHeight="1" x14ac:dyDescent="0.25">
      <c r="A21" s="16"/>
      <c r="B21"/>
      <c r="C21"/>
      <c r="D21"/>
      <c r="E21"/>
      <c r="F21"/>
      <c r="G21"/>
    </row>
    <row r="22" spans="1:7" s="3" customFormat="1" ht="15" customHeight="1" x14ac:dyDescent="0.25">
      <c r="A22" s="16"/>
      <c r="B22"/>
    </row>
    <row r="23" spans="1:7" s="3" customFormat="1" ht="15" customHeight="1" x14ac:dyDescent="0.25">
      <c r="A23" s="16"/>
      <c r="B23"/>
    </row>
    <row r="24" spans="1:7" s="3" customFormat="1" ht="15" customHeight="1" x14ac:dyDescent="0.25">
      <c r="A24" s="16"/>
      <c r="B24"/>
    </row>
    <row r="27" spans="1:7" ht="15" customHeight="1" x14ac:dyDescent="0.25">
      <c r="A27" s="16" t="s">
        <v>186</v>
      </c>
    </row>
    <row r="28" spans="1:7" ht="15" customHeight="1" x14ac:dyDescent="0.25">
      <c r="A28" s="16" t="s">
        <v>305</v>
      </c>
    </row>
    <row r="29" spans="1:7" ht="15" customHeight="1" x14ac:dyDescent="0.25">
      <c r="A29" s="16" t="s">
        <v>303</v>
      </c>
    </row>
    <row r="30" spans="1:7" ht="15" customHeight="1" x14ac:dyDescent="0.25">
      <c r="A30" s="16" t="s">
        <v>306</v>
      </c>
    </row>
    <row r="31" spans="1:7" ht="15" customHeight="1" x14ac:dyDescent="0.25">
      <c r="A31" s="16" t="s">
        <v>365</v>
      </c>
      <c r="C31" t="s">
        <v>67</v>
      </c>
      <c r="D31" t="s">
        <v>68</v>
      </c>
      <c r="E31" t="s">
        <v>57</v>
      </c>
      <c r="F31" t="s">
        <v>69</v>
      </c>
    </row>
    <row r="32" spans="1:7" ht="15" customHeight="1" x14ac:dyDescent="0.25">
      <c r="A32" s="16" t="s">
        <v>188</v>
      </c>
      <c r="C32" s="40">
        <f ca="1">TODAY()-2</f>
        <v>46223</v>
      </c>
      <c r="D32" t="s">
        <v>70</v>
      </c>
      <c r="E32" s="33">
        <v>21</v>
      </c>
      <c r="F32" s="34">
        <v>3820</v>
      </c>
    </row>
    <row r="33" spans="1:6" ht="15" customHeight="1" x14ac:dyDescent="0.25">
      <c r="A33" s="16" t="s">
        <v>189</v>
      </c>
      <c r="C33" s="40">
        <f ca="1">TODAY()-6</f>
        <v>46219</v>
      </c>
      <c r="D33" t="s">
        <v>73</v>
      </c>
      <c r="E33" s="33">
        <v>25</v>
      </c>
      <c r="F33" s="33">
        <v>1611</v>
      </c>
    </row>
    <row r="34" spans="1:6" ht="15" customHeight="1" x14ac:dyDescent="0.25">
      <c r="C34" s="40">
        <f ca="1">TODAY()</f>
        <v>46225</v>
      </c>
      <c r="D34" t="s">
        <v>72</v>
      </c>
      <c r="E34" s="33">
        <v>30</v>
      </c>
      <c r="F34" s="34">
        <v>3085</v>
      </c>
    </row>
    <row r="35" spans="1:6" ht="15" customHeight="1" x14ac:dyDescent="0.25">
      <c r="C35" s="40">
        <f ca="1">TODAY()-5</f>
        <v>46220</v>
      </c>
      <c r="D35" t="s">
        <v>74</v>
      </c>
      <c r="E35" s="33">
        <v>45</v>
      </c>
      <c r="F35" s="34">
        <v>5050</v>
      </c>
    </row>
    <row r="36" spans="1:6" ht="15" customHeight="1" x14ac:dyDescent="0.25">
      <c r="C36" s="40">
        <f ca="1">TODAY()-3</f>
        <v>46222</v>
      </c>
      <c r="D36" t="s">
        <v>71</v>
      </c>
      <c r="E36" s="33">
        <v>62</v>
      </c>
      <c r="F36" s="33">
        <v>2112</v>
      </c>
    </row>
    <row r="37" spans="1:6" ht="15" customHeight="1" x14ac:dyDescent="0.25">
      <c r="C37" s="40">
        <f ca="1">TODAY()-4</f>
        <v>46221</v>
      </c>
      <c r="D37" t="s">
        <v>75</v>
      </c>
      <c r="E37" s="33">
        <v>69</v>
      </c>
      <c r="F37" s="33">
        <v>528</v>
      </c>
    </row>
    <row r="43" spans="1:6" ht="15" customHeight="1" x14ac:dyDescent="0.25">
      <c r="A43" s="16" t="s">
        <v>187</v>
      </c>
    </row>
    <row r="44" spans="1:6" ht="15" customHeight="1" x14ac:dyDescent="0.25">
      <c r="A44" s="16" t="s">
        <v>307</v>
      </c>
    </row>
    <row r="45" spans="1:6" ht="15" customHeight="1" x14ac:dyDescent="0.25">
      <c r="A45" s="16" t="s">
        <v>333</v>
      </c>
    </row>
    <row r="46" spans="1:6" ht="15" customHeight="1" x14ac:dyDescent="0.25">
      <c r="A46" s="16" t="s">
        <v>334</v>
      </c>
    </row>
    <row r="47" spans="1:6" ht="15" customHeight="1" x14ac:dyDescent="0.25">
      <c r="A47" s="16" t="s">
        <v>206</v>
      </c>
    </row>
    <row r="49" spans="1:6" ht="15" customHeight="1" x14ac:dyDescent="0.25">
      <c r="C49" t="s">
        <v>67</v>
      </c>
      <c r="D49" t="s">
        <v>68</v>
      </c>
      <c r="E49" t="s">
        <v>57</v>
      </c>
      <c r="F49" t="s">
        <v>69</v>
      </c>
    </row>
    <row r="50" spans="1:6" ht="15" customHeight="1" x14ac:dyDescent="0.25">
      <c r="C50" s="40">
        <f ca="1">TODAY()-2</f>
        <v>46223</v>
      </c>
      <c r="D50" t="s">
        <v>70</v>
      </c>
      <c r="E50" s="33">
        <v>21</v>
      </c>
      <c r="F50" s="33">
        <v>3820</v>
      </c>
    </row>
    <row r="51" spans="1:6" ht="15" customHeight="1" x14ac:dyDescent="0.25">
      <c r="C51" s="40">
        <f ca="1">TODAY()-3</f>
        <v>46222</v>
      </c>
      <c r="D51" t="s">
        <v>71</v>
      </c>
      <c r="E51" s="33">
        <v>62</v>
      </c>
      <c r="F51" s="33">
        <v>2112</v>
      </c>
    </row>
    <row r="52" spans="1:6" ht="15" customHeight="1" x14ac:dyDescent="0.25">
      <c r="C52" s="40">
        <f ca="1">TODAY()</f>
        <v>46225</v>
      </c>
      <c r="D52" t="s">
        <v>72</v>
      </c>
      <c r="E52" s="33">
        <v>30</v>
      </c>
      <c r="F52" s="33">
        <v>3085</v>
      </c>
    </row>
    <row r="53" spans="1:6" ht="15" customHeight="1" x14ac:dyDescent="0.25">
      <c r="C53" s="40">
        <f ca="1">TODAY()-6</f>
        <v>46219</v>
      </c>
      <c r="D53" t="s">
        <v>73</v>
      </c>
      <c r="E53" s="33">
        <v>25</v>
      </c>
      <c r="F53" s="33">
        <v>1611</v>
      </c>
    </row>
    <row r="54" spans="1:6" ht="15" customHeight="1" x14ac:dyDescent="0.25">
      <c r="C54" s="40">
        <f ca="1">TODAY()-5</f>
        <v>46220</v>
      </c>
      <c r="D54" t="s">
        <v>74</v>
      </c>
      <c r="E54" s="33">
        <v>45</v>
      </c>
      <c r="F54" s="33">
        <v>5050</v>
      </c>
    </row>
    <row r="55" spans="1:6" ht="15" customHeight="1" x14ac:dyDescent="0.25">
      <c r="C55" s="40">
        <f ca="1">TODAY()-4</f>
        <v>46221</v>
      </c>
      <c r="D55" t="s">
        <v>75</v>
      </c>
      <c r="E55" s="33">
        <v>69</v>
      </c>
      <c r="F55" s="33">
        <v>528</v>
      </c>
    </row>
    <row r="60" spans="1:6" ht="15" customHeight="1" x14ac:dyDescent="0.25">
      <c r="A60" s="16" t="s">
        <v>113</v>
      </c>
    </row>
    <row r="61" spans="1:6" ht="15" customHeight="1" x14ac:dyDescent="0.25">
      <c r="A61" s="16" t="s">
        <v>190</v>
      </c>
    </row>
    <row r="62" spans="1:6" ht="15" customHeight="1" x14ac:dyDescent="0.25">
      <c r="A62" s="16" t="s">
        <v>191</v>
      </c>
    </row>
    <row r="63" spans="1:6" ht="15" customHeight="1" x14ac:dyDescent="0.25">
      <c r="A63" s="16" t="s">
        <v>112</v>
      </c>
    </row>
  </sheetData>
  <autoFilter ref="E5:G13" xr:uid="{00000000-0001-0000-0500-000000000000}"/>
  <sortState xmlns:xlrd2="http://schemas.microsoft.com/office/spreadsheetml/2017/richdata2" ref="C6:G13">
    <sortCondition descending="1" ref="D5:D13"/>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76"/>
  <sheetViews>
    <sheetView showGridLines="0" topLeftCell="B58" zoomScaleNormal="100" zoomScalePageLayoutView="125" workbookViewId="0">
      <selection activeCell="I14" sqref="I14"/>
    </sheetView>
  </sheetViews>
  <sheetFormatPr defaultColWidth="8.85546875" defaultRowHeight="15" customHeight="1" x14ac:dyDescent="0.25"/>
  <cols>
    <col min="1" max="1" width="12.7109375" style="16" customWidth="1"/>
    <col min="2" max="2" width="82.85546875" customWidth="1"/>
    <col min="3" max="3" width="13.85546875" customWidth="1"/>
    <col min="4" max="4" width="11" customWidth="1"/>
    <col min="5" max="8" width="9.28515625" customWidth="1"/>
    <col min="14" max="14" width="11" customWidth="1"/>
  </cols>
  <sheetData>
    <row r="1" spans="1:8" ht="60" customHeight="1" x14ac:dyDescent="0.65">
      <c r="A1" s="16" t="s">
        <v>131</v>
      </c>
      <c r="B1" s="1"/>
    </row>
    <row r="2" spans="1:8" ht="15" customHeight="1" x14ac:dyDescent="0.25">
      <c r="A2" s="16" t="s">
        <v>192</v>
      </c>
    </row>
    <row r="3" spans="1:8" ht="15" customHeight="1" x14ac:dyDescent="0.3">
      <c r="A3" s="16" t="s">
        <v>234</v>
      </c>
      <c r="B3" s="2"/>
    </row>
    <row r="4" spans="1:8" ht="15" customHeight="1" x14ac:dyDescent="0.25">
      <c r="A4" s="16" t="s">
        <v>308</v>
      </c>
    </row>
    <row r="5" spans="1:8" s="3" customFormat="1" ht="15" customHeight="1" x14ac:dyDescent="0.25">
      <c r="A5" s="16" t="s">
        <v>193</v>
      </c>
      <c r="B5" s="3" t="s">
        <v>402</v>
      </c>
      <c r="C5" t="s">
        <v>46</v>
      </c>
      <c r="D5" t="s">
        <v>26</v>
      </c>
      <c r="E5" t="s">
        <v>47</v>
      </c>
      <c r="F5" s="3" t="s">
        <v>401</v>
      </c>
      <c r="G5" t="s">
        <v>49</v>
      </c>
      <c r="H5"/>
    </row>
    <row r="6" spans="1:8" s="3" customFormat="1" ht="15" customHeight="1" x14ac:dyDescent="0.3">
      <c r="A6" s="16" t="s">
        <v>309</v>
      </c>
      <c r="B6" s="4"/>
      <c r="C6" t="s">
        <v>28</v>
      </c>
      <c r="D6" t="s">
        <v>50</v>
      </c>
      <c r="E6">
        <v>30000</v>
      </c>
      <c r="F6">
        <v>80000</v>
      </c>
      <c r="G6">
        <v>30000</v>
      </c>
    </row>
    <row r="7" spans="1:8" s="3" customFormat="1" ht="15" customHeight="1" x14ac:dyDescent="0.25">
      <c r="A7" s="16" t="s">
        <v>335</v>
      </c>
      <c r="C7" t="s">
        <v>28</v>
      </c>
      <c r="D7" t="s">
        <v>0</v>
      </c>
      <c r="E7">
        <v>10000</v>
      </c>
      <c r="F7">
        <v>30000</v>
      </c>
      <c r="G7">
        <v>40000</v>
      </c>
    </row>
    <row r="8" spans="1:8" s="3" customFormat="1" ht="15" customHeight="1" x14ac:dyDescent="0.25">
      <c r="A8" s="16" t="s">
        <v>235</v>
      </c>
      <c r="C8" t="s">
        <v>45</v>
      </c>
      <c r="D8" t="s">
        <v>51</v>
      </c>
      <c r="E8">
        <v>30000</v>
      </c>
      <c r="F8">
        <v>15000</v>
      </c>
      <c r="G8">
        <v>20000</v>
      </c>
    </row>
    <row r="9" spans="1:8" s="3" customFormat="1" ht="15" customHeight="1" x14ac:dyDescent="0.25">
      <c r="A9" s="46" t="s">
        <v>336</v>
      </c>
      <c r="C9" t="s">
        <v>45</v>
      </c>
      <c r="D9" t="s">
        <v>52</v>
      </c>
      <c r="E9">
        <v>25000</v>
      </c>
      <c r="F9">
        <v>80000</v>
      </c>
      <c r="G9">
        <v>120000</v>
      </c>
    </row>
    <row r="10" spans="1:8" s="3" customFormat="1" ht="15" customHeight="1" x14ac:dyDescent="0.25">
      <c r="A10" s="16" t="s">
        <v>118</v>
      </c>
      <c r="C10" t="s">
        <v>53</v>
      </c>
      <c r="D10" t="s">
        <v>65</v>
      </c>
      <c r="E10">
        <v>80000</v>
      </c>
      <c r="F10">
        <v>40000</v>
      </c>
      <c r="G10">
        <v>20000</v>
      </c>
    </row>
    <row r="11" spans="1:8" s="3" customFormat="1" ht="15" customHeight="1" x14ac:dyDescent="0.25">
      <c r="A11" s="16"/>
      <c r="C11" t="s">
        <v>53</v>
      </c>
      <c r="D11" t="s">
        <v>54</v>
      </c>
      <c r="E11">
        <v>90000</v>
      </c>
      <c r="F11">
        <v>35000</v>
      </c>
      <c r="G11">
        <v>25000</v>
      </c>
    </row>
    <row r="12" spans="1:8" s="3" customFormat="1" ht="15" customHeight="1" x14ac:dyDescent="0.25">
      <c r="A12" s="16"/>
      <c r="C12" t="s">
        <v>6</v>
      </c>
      <c r="D12" t="s">
        <v>7</v>
      </c>
      <c r="E12">
        <v>90000</v>
      </c>
      <c r="F12">
        <v>110000</v>
      </c>
      <c r="G12">
        <v>200000</v>
      </c>
    </row>
    <row r="13" spans="1:8" s="3" customFormat="1" ht="15" customHeight="1" x14ac:dyDescent="0.25">
      <c r="A13" s="16"/>
      <c r="C13" t="s">
        <v>6</v>
      </c>
      <c r="D13" t="s">
        <v>8</v>
      </c>
      <c r="E13">
        <v>75000</v>
      </c>
      <c r="F13">
        <v>82000</v>
      </c>
      <c r="G13">
        <v>150000</v>
      </c>
    </row>
    <row r="14" spans="1:8" s="3" customFormat="1" ht="15" customHeight="1" x14ac:dyDescent="0.25">
      <c r="A14" s="16"/>
      <c r="C14"/>
      <c r="D14"/>
      <c r="E14"/>
      <c r="F14"/>
      <c r="G14"/>
    </row>
    <row r="15" spans="1:8" s="3" customFormat="1" ht="15" customHeight="1" x14ac:dyDescent="0.25">
      <c r="A15" s="16"/>
      <c r="D15"/>
      <c r="E15"/>
      <c r="F15"/>
      <c r="G15"/>
    </row>
    <row r="16" spans="1:8" s="3" customFormat="1" ht="15" customHeight="1" x14ac:dyDescent="0.25">
      <c r="A16" s="16"/>
      <c r="C16"/>
      <c r="D16"/>
      <c r="E16"/>
      <c r="F16"/>
      <c r="G16"/>
      <c r="H16"/>
    </row>
    <row r="17" spans="1:14" s="3" customFormat="1" ht="15" customHeight="1" x14ac:dyDescent="0.25">
      <c r="A17" s="16"/>
      <c r="C17"/>
      <c r="D17"/>
      <c r="E17"/>
      <c r="F17"/>
      <c r="G17"/>
      <c r="H17"/>
    </row>
    <row r="18" spans="1:14" s="3" customFormat="1" ht="15" customHeight="1" x14ac:dyDescent="0.25">
      <c r="A18" s="16"/>
      <c r="C18"/>
      <c r="D18"/>
      <c r="E18"/>
      <c r="F18"/>
      <c r="G18"/>
      <c r="H18"/>
    </row>
    <row r="19" spans="1:14" s="3" customFormat="1" ht="15" customHeight="1" x14ac:dyDescent="0.25">
      <c r="A19" s="16"/>
      <c r="C19"/>
      <c r="D19"/>
      <c r="E19"/>
      <c r="F19"/>
      <c r="G19"/>
      <c r="H19"/>
    </row>
    <row r="20" spans="1:14" s="3" customFormat="1" ht="15" customHeight="1" x14ac:dyDescent="0.25">
      <c r="A20" s="16"/>
      <c r="C20"/>
      <c r="D20"/>
      <c r="E20"/>
      <c r="F20"/>
      <c r="G20"/>
      <c r="H20"/>
    </row>
    <row r="21" spans="1:14" s="3" customFormat="1" ht="15" customHeight="1" x14ac:dyDescent="0.25">
      <c r="A21" s="16"/>
      <c r="C21"/>
      <c r="D21"/>
      <c r="E21"/>
      <c r="F21"/>
      <c r="G21"/>
      <c r="H21"/>
    </row>
    <row r="22" spans="1:14" s="3" customFormat="1" ht="15" customHeight="1" x14ac:dyDescent="0.25">
      <c r="A22" s="16"/>
    </row>
    <row r="23" spans="1:14" s="3" customFormat="1" ht="15" customHeight="1" x14ac:dyDescent="0.25">
      <c r="A23" s="16"/>
    </row>
    <row r="24" spans="1:14" s="3" customFormat="1" ht="15" customHeight="1" x14ac:dyDescent="0.25">
      <c r="A24" s="16"/>
    </row>
    <row r="26" spans="1:14" ht="15" customHeight="1" x14ac:dyDescent="0.25">
      <c r="N26" t="s">
        <v>402</v>
      </c>
    </row>
    <row r="27" spans="1:14" ht="15" customHeight="1" x14ac:dyDescent="0.25">
      <c r="A27" s="16" t="s">
        <v>194</v>
      </c>
    </row>
    <row r="28" spans="1:14" ht="15" customHeight="1" x14ac:dyDescent="0.25">
      <c r="A28" s="16" t="s">
        <v>195</v>
      </c>
    </row>
    <row r="29" spans="1:14" ht="15" customHeight="1" x14ac:dyDescent="0.25">
      <c r="A29" s="16" t="s">
        <v>310</v>
      </c>
    </row>
    <row r="30" spans="1:14" ht="15" customHeight="1" x14ac:dyDescent="0.25">
      <c r="A30" s="16" t="s">
        <v>236</v>
      </c>
    </row>
    <row r="31" spans="1:14" ht="15" customHeight="1" x14ac:dyDescent="0.25">
      <c r="A31" s="16" t="s">
        <v>311</v>
      </c>
    </row>
    <row r="32" spans="1:14" ht="15" customHeight="1" x14ac:dyDescent="0.25">
      <c r="A32" s="16" t="s">
        <v>237</v>
      </c>
    </row>
    <row r="33" spans="1:8" ht="15" customHeight="1" x14ac:dyDescent="0.25">
      <c r="A33" s="16" t="s">
        <v>196</v>
      </c>
      <c r="C33" s="27" t="s">
        <v>46</v>
      </c>
      <c r="D33" s="27" t="s">
        <v>26</v>
      </c>
      <c r="E33" s="27" t="s">
        <v>47</v>
      </c>
      <c r="F33" s="27" t="s">
        <v>48</v>
      </c>
      <c r="G33" s="27" t="s">
        <v>49</v>
      </c>
      <c r="H33" s="27" t="s">
        <v>55</v>
      </c>
    </row>
    <row r="34" spans="1:8" ht="15" customHeight="1" x14ac:dyDescent="0.25">
      <c r="C34" s="5" t="s">
        <v>28</v>
      </c>
      <c r="D34" s="5" t="s">
        <v>50</v>
      </c>
      <c r="E34" s="28">
        <v>30000</v>
      </c>
      <c r="F34" s="28">
        <v>80000</v>
      </c>
      <c r="G34" s="28">
        <v>30000</v>
      </c>
      <c r="H34" s="35">
        <f>SUM(CalculatedColumns[[#This Row],[Oct]:[Dec]])</f>
        <v>140000</v>
      </c>
    </row>
    <row r="35" spans="1:8" ht="15" customHeight="1" x14ac:dyDescent="0.25">
      <c r="C35" t="s">
        <v>28</v>
      </c>
      <c r="D35" t="s">
        <v>0</v>
      </c>
      <c r="E35" s="35">
        <v>10000</v>
      </c>
      <c r="F35" s="35">
        <v>30000</v>
      </c>
      <c r="G35" s="35">
        <v>40000</v>
      </c>
      <c r="H35" s="35">
        <f>SUM(CalculatedColumns[[#This Row],[Oct]:[Dec]])</f>
        <v>80000</v>
      </c>
    </row>
    <row r="36" spans="1:8" ht="15" customHeight="1" x14ac:dyDescent="0.25">
      <c r="C36" s="5" t="s">
        <v>45</v>
      </c>
      <c r="D36" s="5" t="s">
        <v>51</v>
      </c>
      <c r="E36" s="28">
        <v>30000</v>
      </c>
      <c r="F36" s="28">
        <v>15000</v>
      </c>
      <c r="G36" s="28">
        <v>20000</v>
      </c>
      <c r="H36" s="35">
        <f>SUM(CalculatedColumns[[#This Row],[Oct]:[Dec]])</f>
        <v>65000</v>
      </c>
    </row>
    <row r="37" spans="1:8" ht="15" customHeight="1" x14ac:dyDescent="0.25">
      <c r="C37" t="s">
        <v>45</v>
      </c>
      <c r="D37" t="s">
        <v>52</v>
      </c>
      <c r="E37" s="35">
        <v>25000</v>
      </c>
      <c r="F37" s="35">
        <v>80000</v>
      </c>
      <c r="G37" s="35">
        <v>120000</v>
      </c>
      <c r="H37" s="35">
        <f>SUM(CalculatedColumns[[#This Row],[Oct]:[Dec]])</f>
        <v>225000</v>
      </c>
    </row>
    <row r="38" spans="1:8" ht="15" customHeight="1" x14ac:dyDescent="0.25">
      <c r="C38" s="5" t="s">
        <v>53</v>
      </c>
      <c r="D38" s="5" t="s">
        <v>64</v>
      </c>
      <c r="E38" s="28">
        <v>80000</v>
      </c>
      <c r="F38" s="28">
        <v>40000</v>
      </c>
      <c r="G38" s="28">
        <v>20000</v>
      </c>
      <c r="H38" s="35">
        <f>SUM(CalculatedColumns[[#This Row],[Oct]:[Dec]])</f>
        <v>140000</v>
      </c>
    </row>
    <row r="39" spans="1:8" ht="15" customHeight="1" x14ac:dyDescent="0.25">
      <c r="C39" t="s">
        <v>53</v>
      </c>
      <c r="D39" t="s">
        <v>54</v>
      </c>
      <c r="E39" s="35">
        <v>90000</v>
      </c>
      <c r="F39" s="35">
        <v>35000</v>
      </c>
      <c r="G39" s="35">
        <v>25000</v>
      </c>
      <c r="H39" s="35">
        <f>SUM(CalculatedColumns[[#This Row],[Oct]:[Dec]])</f>
        <v>150000</v>
      </c>
    </row>
    <row r="40" spans="1:8" ht="15" customHeight="1" x14ac:dyDescent="0.25">
      <c r="C40" s="5" t="s">
        <v>6</v>
      </c>
      <c r="D40" s="5" t="s">
        <v>7</v>
      </c>
      <c r="E40" s="28">
        <v>90000</v>
      </c>
      <c r="F40" s="28">
        <v>110000</v>
      </c>
      <c r="G40" s="28">
        <v>200000</v>
      </c>
      <c r="H40" s="35">
        <f>SUM(CalculatedColumns[[#This Row],[Oct]:[Dec]])</f>
        <v>400000</v>
      </c>
    </row>
    <row r="41" spans="1:8" ht="15" customHeight="1" x14ac:dyDescent="0.25">
      <c r="C41" t="s">
        <v>6</v>
      </c>
      <c r="D41" t="s">
        <v>8</v>
      </c>
      <c r="E41" s="35">
        <v>75000</v>
      </c>
      <c r="F41" s="35">
        <v>82000</v>
      </c>
      <c r="G41" s="35">
        <v>150000</v>
      </c>
      <c r="H41" s="35">
        <f>SUM(CalculatedColumns[[#This Row],[Oct]:[Dec]])</f>
        <v>307000</v>
      </c>
    </row>
    <row r="47" spans="1:8" ht="15" customHeight="1" x14ac:dyDescent="0.25">
      <c r="A47" s="16" t="s">
        <v>197</v>
      </c>
    </row>
    <row r="48" spans="1:8" ht="15" customHeight="1" x14ac:dyDescent="0.25">
      <c r="A48" s="16" t="s">
        <v>198</v>
      </c>
    </row>
    <row r="49" spans="1:5" ht="15" customHeight="1" x14ac:dyDescent="0.25">
      <c r="A49" s="16" t="s">
        <v>312</v>
      </c>
    </row>
    <row r="50" spans="1:5" ht="15" customHeight="1" x14ac:dyDescent="0.25">
      <c r="A50" s="16" t="s">
        <v>238</v>
      </c>
    </row>
    <row r="51" spans="1:5" ht="15" customHeight="1" x14ac:dyDescent="0.25">
      <c r="A51" s="16" t="s">
        <v>313</v>
      </c>
    </row>
    <row r="52" spans="1:5" ht="15" customHeight="1" x14ac:dyDescent="0.25">
      <c r="A52" s="16" t="s">
        <v>314</v>
      </c>
    </row>
    <row r="53" spans="1:5" ht="15" customHeight="1" x14ac:dyDescent="0.25">
      <c r="A53" s="16" t="s">
        <v>315</v>
      </c>
      <c r="C53" s="27" t="s">
        <v>46</v>
      </c>
      <c r="D53" s="27" t="s">
        <v>26</v>
      </c>
      <c r="E53" s="27" t="s">
        <v>56</v>
      </c>
    </row>
    <row r="54" spans="1:5" ht="15" customHeight="1" x14ac:dyDescent="0.25">
      <c r="A54" s="16" t="s">
        <v>239</v>
      </c>
      <c r="C54" s="5" t="s">
        <v>28</v>
      </c>
      <c r="D54" s="5" t="s">
        <v>50</v>
      </c>
      <c r="E54" s="35">
        <v>1000</v>
      </c>
    </row>
    <row r="55" spans="1:5" ht="15" customHeight="1" x14ac:dyDescent="0.25">
      <c r="A55" s="16" t="s">
        <v>316</v>
      </c>
      <c r="C55" t="s">
        <v>28</v>
      </c>
      <c r="D55" t="s">
        <v>0</v>
      </c>
      <c r="E55" s="35">
        <v>2000</v>
      </c>
    </row>
    <row r="56" spans="1:5" ht="15" customHeight="1" x14ac:dyDescent="0.25">
      <c r="A56" s="16" t="s">
        <v>240</v>
      </c>
      <c r="C56" s="5" t="s">
        <v>45</v>
      </c>
      <c r="D56" s="5" t="s">
        <v>51</v>
      </c>
      <c r="E56" s="35">
        <v>3000</v>
      </c>
    </row>
    <row r="57" spans="1:5" ht="15" customHeight="1" x14ac:dyDescent="0.25">
      <c r="A57" s="16" t="s">
        <v>182</v>
      </c>
      <c r="C57" t="s">
        <v>45</v>
      </c>
      <c r="D57" t="s">
        <v>52</v>
      </c>
      <c r="E57" s="35">
        <v>1000</v>
      </c>
    </row>
    <row r="58" spans="1:5" ht="15" customHeight="1" x14ac:dyDescent="0.25">
      <c r="C58" s="5" t="s">
        <v>53</v>
      </c>
      <c r="D58" s="5" t="s">
        <v>64</v>
      </c>
      <c r="E58" s="35">
        <v>2000</v>
      </c>
    </row>
    <row r="59" spans="1:5" ht="15" customHeight="1" x14ac:dyDescent="0.25">
      <c r="C59" t="s">
        <v>53</v>
      </c>
      <c r="D59" t="s">
        <v>54</v>
      </c>
      <c r="E59" s="35">
        <v>3000</v>
      </c>
    </row>
    <row r="60" spans="1:5" ht="15" customHeight="1" x14ac:dyDescent="0.25">
      <c r="C60" s="5" t="s">
        <v>6</v>
      </c>
      <c r="D60" s="5" t="s">
        <v>7</v>
      </c>
      <c r="E60" s="35">
        <v>4000</v>
      </c>
    </row>
    <row r="61" spans="1:5" ht="15" customHeight="1" x14ac:dyDescent="0.25">
      <c r="C61" t="s">
        <v>6</v>
      </c>
      <c r="D61" t="s">
        <v>8</v>
      </c>
      <c r="E61" s="35">
        <v>8000</v>
      </c>
    </row>
    <row r="72" spans="1:2" ht="15" customHeight="1" x14ac:dyDescent="0.25">
      <c r="A72" s="16" t="s">
        <v>113</v>
      </c>
    </row>
    <row r="73" spans="1:2" ht="15" customHeight="1" x14ac:dyDescent="0.25">
      <c r="A73" s="16" t="s">
        <v>199</v>
      </c>
    </row>
    <row r="74" spans="1:2" ht="15" customHeight="1" x14ac:dyDescent="0.25">
      <c r="A74" s="16" t="s">
        <v>200</v>
      </c>
    </row>
    <row r="75" spans="1:2" ht="15" customHeight="1" x14ac:dyDescent="0.25">
      <c r="A75" s="16" t="s">
        <v>201</v>
      </c>
    </row>
    <row r="76" spans="1:2" ht="15" customHeight="1" x14ac:dyDescent="0.25">
      <c r="A76" s="16" t="s">
        <v>112</v>
      </c>
      <c r="B76" t="s">
        <v>170</v>
      </c>
    </row>
  </sheetData>
  <phoneticPr fontId="15" type="noConversion"/>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topLeftCell="A58" zoomScaleNormal="100" zoomScalePageLayoutView="125" workbookViewId="0">
      <selection activeCell="E22" sqref="E22"/>
    </sheetView>
  </sheetViews>
  <sheetFormatPr defaultColWidth="8.85546875" defaultRowHeight="15" customHeight="1" x14ac:dyDescent="0.25"/>
  <cols>
    <col min="1" max="1" width="12.7109375" style="16" customWidth="1"/>
    <col min="2" max="2" width="82.85546875" customWidth="1"/>
    <col min="3" max="3" width="11.7109375" customWidth="1"/>
    <col min="4" max="6" width="13.85546875" customWidth="1"/>
  </cols>
  <sheetData>
    <row r="1" spans="1:6" ht="60" customHeight="1" x14ac:dyDescent="0.25">
      <c r="A1" s="16" t="s">
        <v>132</v>
      </c>
    </row>
    <row r="2" spans="1:6" ht="15" customHeight="1" x14ac:dyDescent="0.25">
      <c r="A2" s="16" t="s">
        <v>202</v>
      </c>
    </row>
    <row r="3" spans="1:6" ht="15" customHeight="1" x14ac:dyDescent="0.25">
      <c r="A3" s="16" t="s">
        <v>317</v>
      </c>
      <c r="C3" s="27" t="s">
        <v>57</v>
      </c>
      <c r="D3" s="27" t="s">
        <v>46</v>
      </c>
    </row>
    <row r="4" spans="1:6" ht="15" customHeight="1" x14ac:dyDescent="0.25">
      <c r="A4" s="16" t="s">
        <v>203</v>
      </c>
      <c r="C4" s="6" t="s">
        <v>2</v>
      </c>
      <c r="D4" s="7" t="s">
        <v>403</v>
      </c>
    </row>
    <row r="5" spans="1:6" s="3" customFormat="1" ht="15" customHeight="1" x14ac:dyDescent="0.25">
      <c r="A5" s="16" t="s">
        <v>318</v>
      </c>
      <c r="B5"/>
      <c r="C5" s="6" t="s">
        <v>7</v>
      </c>
      <c r="D5" s="7" t="s">
        <v>404</v>
      </c>
      <c r="F5"/>
    </row>
    <row r="6" spans="1:6" s="3" customFormat="1" ht="15" customHeight="1" x14ac:dyDescent="0.25">
      <c r="A6" s="16" t="s">
        <v>377</v>
      </c>
      <c r="B6"/>
      <c r="C6" s="6" t="s">
        <v>4</v>
      </c>
      <c r="D6" s="7" t="s">
        <v>405</v>
      </c>
      <c r="F6"/>
    </row>
    <row r="7" spans="1:6" s="3" customFormat="1" ht="15" customHeight="1" x14ac:dyDescent="0.25">
      <c r="A7" s="16" t="s">
        <v>319</v>
      </c>
      <c r="B7"/>
      <c r="C7" s="6" t="s">
        <v>5</v>
      </c>
      <c r="D7" s="7" t="s">
        <v>405</v>
      </c>
      <c r="F7"/>
    </row>
    <row r="8" spans="1:6" s="3" customFormat="1" ht="15" customHeight="1" x14ac:dyDescent="0.25">
      <c r="A8" s="16" t="s">
        <v>337</v>
      </c>
      <c r="B8"/>
      <c r="C8" s="6" t="s">
        <v>58</v>
      </c>
      <c r="D8" s="7" t="s">
        <v>403</v>
      </c>
      <c r="F8"/>
    </row>
    <row r="9" spans="1:6" s="3" customFormat="1" ht="15" customHeight="1" x14ac:dyDescent="0.25">
      <c r="A9" s="16" t="s">
        <v>241</v>
      </c>
      <c r="B9"/>
      <c r="C9" s="6" t="s">
        <v>59</v>
      </c>
      <c r="D9" s="7" t="s">
        <v>404</v>
      </c>
      <c r="F9"/>
    </row>
    <row r="10" spans="1:6" s="3" customFormat="1" ht="15" customHeight="1" x14ac:dyDescent="0.25">
      <c r="A10" s="16" t="s">
        <v>118</v>
      </c>
      <c r="B10"/>
      <c r="C10" s="6" t="s">
        <v>60</v>
      </c>
      <c r="D10" s="7" t="s">
        <v>404</v>
      </c>
      <c r="F10"/>
    </row>
    <row r="11" spans="1:6" s="3" customFormat="1" ht="15" customHeight="1" x14ac:dyDescent="0.25">
      <c r="A11" s="16"/>
      <c r="B11"/>
      <c r="C11" s="6" t="s">
        <v>12</v>
      </c>
      <c r="D11" s="7" t="s">
        <v>403</v>
      </c>
      <c r="F11"/>
    </row>
    <row r="12" spans="1:6" s="3" customFormat="1" ht="15" customHeight="1" x14ac:dyDescent="0.25">
      <c r="A12" s="16"/>
      <c r="B12"/>
      <c r="C12" s="6" t="s">
        <v>8</v>
      </c>
      <c r="D12" s="7" t="s">
        <v>403</v>
      </c>
      <c r="F12"/>
    </row>
    <row r="13" spans="1:6" s="3" customFormat="1" ht="15" customHeight="1" x14ac:dyDescent="0.25">
      <c r="A13" s="16"/>
      <c r="B13"/>
      <c r="C13" s="6" t="s">
        <v>14</v>
      </c>
      <c r="D13" s="7" t="s">
        <v>404</v>
      </c>
      <c r="F13"/>
    </row>
    <row r="14" spans="1:6" s="3" customFormat="1" ht="15" customHeight="1" x14ac:dyDescent="0.25">
      <c r="A14" s="16"/>
      <c r="B14"/>
      <c r="C14" s="6" t="s">
        <v>15</v>
      </c>
      <c r="D14" s="7" t="s">
        <v>403</v>
      </c>
      <c r="F14"/>
    </row>
    <row r="15" spans="1:6" s="3" customFormat="1" ht="15" customHeight="1" x14ac:dyDescent="0.25">
      <c r="A15" s="16"/>
      <c r="B15"/>
      <c r="C15" s="6" t="s">
        <v>16</v>
      </c>
      <c r="D15" s="7" t="s">
        <v>403</v>
      </c>
      <c r="F15"/>
    </row>
    <row r="16" spans="1:6" s="3" customFormat="1" ht="15" customHeight="1" x14ac:dyDescent="0.25">
      <c r="A16" s="16"/>
      <c r="B16"/>
    </row>
    <row r="17" spans="1:6" s="3" customFormat="1" ht="15" customHeight="1" x14ac:dyDescent="0.25">
      <c r="A17" s="16"/>
      <c r="B17"/>
    </row>
    <row r="18" spans="1:6" s="3" customFormat="1" ht="15" customHeight="1" x14ac:dyDescent="0.25">
      <c r="A18" s="16"/>
      <c r="B18"/>
      <c r="C18"/>
      <c r="D18"/>
      <c r="E18"/>
      <c r="F18"/>
    </row>
    <row r="19" spans="1:6" s="3" customFormat="1" ht="15" customHeight="1" x14ac:dyDescent="0.25">
      <c r="A19" s="16"/>
      <c r="B19"/>
      <c r="C19"/>
      <c r="D19"/>
      <c r="E19"/>
      <c r="F19"/>
    </row>
    <row r="20" spans="1:6" s="3" customFormat="1" ht="15" customHeight="1" x14ac:dyDescent="0.25">
      <c r="A20" s="16"/>
      <c r="B20"/>
      <c r="C20"/>
      <c r="D20"/>
      <c r="E20"/>
      <c r="F20"/>
    </row>
    <row r="21" spans="1:6" s="3" customFormat="1" ht="15" customHeight="1" x14ac:dyDescent="0.25">
      <c r="A21" s="16"/>
      <c r="B21"/>
      <c r="C21"/>
      <c r="D21"/>
      <c r="E21"/>
      <c r="F21"/>
    </row>
    <row r="22" spans="1:6" s="3" customFormat="1" ht="15" customHeight="1" x14ac:dyDescent="0.25">
      <c r="A22" s="16"/>
      <c r="B22"/>
    </row>
    <row r="23" spans="1:6" s="3" customFormat="1" ht="15" customHeight="1" x14ac:dyDescent="0.25">
      <c r="A23" s="16"/>
      <c r="B23"/>
    </row>
    <row r="24" spans="1:6" s="3" customFormat="1" ht="15" customHeight="1" x14ac:dyDescent="0.25">
      <c r="A24" s="16"/>
      <c r="B24"/>
    </row>
    <row r="27" spans="1:6" ht="15" customHeight="1" x14ac:dyDescent="0.25">
      <c r="A27" s="16" t="s">
        <v>204</v>
      </c>
    </row>
    <row r="28" spans="1:6" ht="15" customHeight="1" x14ac:dyDescent="0.25">
      <c r="A28" s="16" t="s">
        <v>205</v>
      </c>
    </row>
    <row r="29" spans="1:6" ht="15" customHeight="1" x14ac:dyDescent="0.25">
      <c r="A29" s="16" t="s">
        <v>320</v>
      </c>
    </row>
    <row r="30" spans="1:6" ht="15" customHeight="1" x14ac:dyDescent="0.25">
      <c r="A30" s="16" t="s">
        <v>242</v>
      </c>
    </row>
    <row r="31" spans="1:6" ht="15" customHeight="1" x14ac:dyDescent="0.25">
      <c r="A31" s="16" t="s">
        <v>244</v>
      </c>
      <c r="C31" s="27" t="s">
        <v>57</v>
      </c>
      <c r="D31" s="27" t="s">
        <v>46</v>
      </c>
      <c r="F31" s="43" t="s">
        <v>46</v>
      </c>
    </row>
    <row r="32" spans="1:6" ht="15" customHeight="1" x14ac:dyDescent="0.25">
      <c r="A32" s="16" t="s">
        <v>243</v>
      </c>
      <c r="C32" s="6" t="s">
        <v>2</v>
      </c>
      <c r="D32" s="6" t="s">
        <v>403</v>
      </c>
      <c r="F32" s="8" t="s">
        <v>28</v>
      </c>
    </row>
    <row r="33" spans="1:6" ht="15" customHeight="1" x14ac:dyDescent="0.25">
      <c r="A33" s="16" t="s">
        <v>378</v>
      </c>
      <c r="C33" s="6" t="s">
        <v>7</v>
      </c>
      <c r="D33" s="6" t="s">
        <v>404</v>
      </c>
      <c r="F33" s="6" t="s">
        <v>6</v>
      </c>
    </row>
    <row r="34" spans="1:6" ht="15" customHeight="1" x14ac:dyDescent="0.25">
      <c r="A34" s="16" t="s">
        <v>321</v>
      </c>
      <c r="C34" s="6" t="s">
        <v>4</v>
      </c>
      <c r="D34" s="6" t="s">
        <v>405</v>
      </c>
      <c r="F34" s="8" t="s">
        <v>45</v>
      </c>
    </row>
    <row r="35" spans="1:6" ht="15" customHeight="1" x14ac:dyDescent="0.25">
      <c r="A35" s="16" t="s">
        <v>245</v>
      </c>
      <c r="C35" s="6" t="s">
        <v>5</v>
      </c>
      <c r="D35" s="6" t="s">
        <v>403</v>
      </c>
    </row>
    <row r="36" spans="1:6" ht="15" customHeight="1" x14ac:dyDescent="0.25">
      <c r="A36" s="16" t="s">
        <v>246</v>
      </c>
      <c r="C36" s="6" t="s">
        <v>58</v>
      </c>
      <c r="D36" s="6" t="s">
        <v>404</v>
      </c>
    </row>
    <row r="37" spans="1:6" ht="15" customHeight="1" x14ac:dyDescent="0.25">
      <c r="A37" s="16" t="s">
        <v>247</v>
      </c>
      <c r="C37" s="6" t="s">
        <v>59</v>
      </c>
      <c r="D37" s="6" t="s">
        <v>405</v>
      </c>
    </row>
    <row r="38" spans="1:6" ht="15" customHeight="1" x14ac:dyDescent="0.25">
      <c r="A38" s="16" t="s">
        <v>206</v>
      </c>
      <c r="C38" s="6" t="s">
        <v>60</v>
      </c>
      <c r="D38" s="6" t="s">
        <v>403</v>
      </c>
    </row>
    <row r="39" spans="1:6" ht="15" customHeight="1" x14ac:dyDescent="0.25">
      <c r="C39" s="6" t="s">
        <v>12</v>
      </c>
      <c r="D39" s="6" t="s">
        <v>403</v>
      </c>
    </row>
    <row r="40" spans="1:6" ht="15" customHeight="1" x14ac:dyDescent="0.25">
      <c r="C40" s="6" t="s">
        <v>8</v>
      </c>
      <c r="D40" s="6" t="s">
        <v>404</v>
      </c>
    </row>
    <row r="41" spans="1:6" ht="15" customHeight="1" x14ac:dyDescent="0.25">
      <c r="C41" s="6" t="s">
        <v>14</v>
      </c>
      <c r="D41" s="6" t="s">
        <v>405</v>
      </c>
    </row>
    <row r="42" spans="1:6" ht="15" customHeight="1" x14ac:dyDescent="0.25">
      <c r="C42" s="6" t="s">
        <v>15</v>
      </c>
      <c r="D42" s="6" t="s">
        <v>403</v>
      </c>
    </row>
    <row r="43" spans="1:6" ht="15" customHeight="1" x14ac:dyDescent="0.25">
      <c r="C43" s="6" t="s">
        <v>16</v>
      </c>
      <c r="D43" s="6" t="s">
        <v>404</v>
      </c>
    </row>
    <row r="60" spans="1:1" ht="15" customHeight="1" x14ac:dyDescent="0.25">
      <c r="A60" s="16" t="s">
        <v>113</v>
      </c>
    </row>
    <row r="61" spans="1:1" ht="15" customHeight="1" x14ac:dyDescent="0.25">
      <c r="A61" s="16" t="s">
        <v>207</v>
      </c>
    </row>
    <row r="62" spans="1:1" ht="15" customHeight="1" x14ac:dyDescent="0.25">
      <c r="A62" s="16" t="s">
        <v>208</v>
      </c>
    </row>
    <row r="63" spans="1:1" ht="15" customHeight="1" x14ac:dyDescent="0.25">
      <c r="A63" s="16" t="s">
        <v>112</v>
      </c>
    </row>
  </sheetData>
  <dataValidations count="2">
    <dataValidation type="list" allowBlank="1" showInputMessage="1" showErrorMessage="1" sqref="D4:D15 D32:D44" xr:uid="{F8EF1175-E1B2-4EEA-9A35-C7F13AC38CDA}">
      <formula1>"produce,meat,bakery"</formula1>
    </dataValidation>
    <dataValidation type="list" allowBlank="1" showInputMessage="1" showErrorMessage="1" sqref="F25" xr:uid="{65A8542D-520C-41AD-9F07-FC0E726AD802}">
      <formula1>"produce,meat,bakerey"</formula1>
    </dataValidation>
  </dataValidations>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5546875" defaultRowHeight="15" customHeight="1" x14ac:dyDescent="0.25"/>
  <cols>
    <col min="1" max="1" width="12.7109375" style="16" customWidth="1"/>
    <col min="2" max="2" width="82.85546875" customWidth="1"/>
    <col min="3" max="3" width="13.85546875" customWidth="1"/>
    <col min="4" max="4" width="11" customWidth="1"/>
    <col min="5" max="5" width="10.85546875" customWidth="1"/>
    <col min="6" max="7" width="11.85546875" customWidth="1"/>
  </cols>
  <sheetData>
    <row r="1" spans="1:7" ht="60" customHeight="1" x14ac:dyDescent="0.25">
      <c r="A1" s="16" t="s">
        <v>133</v>
      </c>
    </row>
    <row r="2" spans="1:7" ht="15" customHeight="1" x14ac:dyDescent="0.25">
      <c r="A2" s="16" t="s">
        <v>209</v>
      </c>
    </row>
    <row r="3" spans="1:7" ht="15" customHeight="1" x14ac:dyDescent="0.25">
      <c r="A3" s="16" t="s">
        <v>322</v>
      </c>
    </row>
    <row r="4" spans="1:7" ht="15" customHeight="1" x14ac:dyDescent="0.25">
      <c r="A4" s="16" t="s">
        <v>252</v>
      </c>
    </row>
    <row r="5" spans="1:7" s="3" customFormat="1" ht="15" customHeight="1" x14ac:dyDescent="0.25">
      <c r="A5" s="16" t="s">
        <v>354</v>
      </c>
      <c r="B5"/>
      <c r="C5" t="s">
        <v>46</v>
      </c>
      <c r="D5" t="s">
        <v>26</v>
      </c>
      <c r="E5" t="s">
        <v>47</v>
      </c>
      <c r="F5" t="s">
        <v>48</v>
      </c>
      <c r="G5" t="s">
        <v>49</v>
      </c>
    </row>
    <row r="6" spans="1:7" s="3" customFormat="1" ht="15" customHeight="1" x14ac:dyDescent="0.25">
      <c r="A6" s="16" t="s">
        <v>248</v>
      </c>
      <c r="B6"/>
      <c r="C6" t="s">
        <v>28</v>
      </c>
      <c r="D6" t="s">
        <v>50</v>
      </c>
      <c r="E6" s="35">
        <v>30000</v>
      </c>
      <c r="F6" s="35">
        <v>80000</v>
      </c>
      <c r="G6" s="35">
        <v>30000</v>
      </c>
    </row>
    <row r="7" spans="1:7" s="3" customFormat="1" ht="15" customHeight="1" x14ac:dyDescent="0.25">
      <c r="A7" s="16" t="s">
        <v>249</v>
      </c>
      <c r="B7"/>
      <c r="C7" t="s">
        <v>28</v>
      </c>
      <c r="D7" t="s">
        <v>0</v>
      </c>
      <c r="E7" s="35">
        <v>10000</v>
      </c>
      <c r="F7" s="35">
        <v>30000</v>
      </c>
      <c r="G7" s="35">
        <v>40000</v>
      </c>
    </row>
    <row r="8" spans="1:7" s="3" customFormat="1" ht="15" customHeight="1" x14ac:dyDescent="0.25">
      <c r="A8" s="16" t="s">
        <v>355</v>
      </c>
      <c r="B8"/>
      <c r="C8" t="s">
        <v>45</v>
      </c>
      <c r="D8" t="s">
        <v>51</v>
      </c>
      <c r="E8" s="35">
        <v>30000</v>
      </c>
      <c r="F8" s="35">
        <v>15000</v>
      </c>
      <c r="G8" s="35">
        <v>20000</v>
      </c>
    </row>
    <row r="9" spans="1:7" s="3" customFormat="1" ht="15" customHeight="1" x14ac:dyDescent="0.25">
      <c r="A9" s="16" t="s">
        <v>250</v>
      </c>
      <c r="B9"/>
      <c r="C9" t="s">
        <v>45</v>
      </c>
      <c r="D9" t="s">
        <v>52</v>
      </c>
      <c r="E9" s="35">
        <v>25000</v>
      </c>
      <c r="F9" s="35">
        <v>80000</v>
      </c>
      <c r="G9" s="35">
        <v>120000</v>
      </c>
    </row>
    <row r="10" spans="1:7" s="3" customFormat="1" ht="15" customHeight="1" x14ac:dyDescent="0.25">
      <c r="A10" s="16" t="s">
        <v>118</v>
      </c>
      <c r="B10"/>
      <c r="C10" t="s">
        <v>53</v>
      </c>
      <c r="D10" t="s">
        <v>65</v>
      </c>
      <c r="E10" s="35">
        <v>80000</v>
      </c>
      <c r="F10" s="35">
        <v>40000</v>
      </c>
      <c r="G10" s="35">
        <v>20000</v>
      </c>
    </row>
    <row r="11" spans="1:7" s="3" customFormat="1" ht="15" customHeight="1" x14ac:dyDescent="0.25">
      <c r="A11" s="16"/>
      <c r="B11"/>
      <c r="C11" t="s">
        <v>53</v>
      </c>
      <c r="D11" t="s">
        <v>54</v>
      </c>
      <c r="E11" s="35">
        <v>90000</v>
      </c>
      <c r="F11" s="35">
        <v>35000</v>
      </c>
      <c r="G11" s="35">
        <v>25000</v>
      </c>
    </row>
    <row r="12" spans="1:7" s="3" customFormat="1" ht="15" customHeight="1" x14ac:dyDescent="0.25">
      <c r="A12" s="16"/>
      <c r="B12"/>
      <c r="C12" t="s">
        <v>6</v>
      </c>
      <c r="D12" t="s">
        <v>7</v>
      </c>
      <c r="E12" s="35">
        <v>90000</v>
      </c>
      <c r="F12" s="35">
        <v>110000</v>
      </c>
      <c r="G12" s="35">
        <v>200000</v>
      </c>
    </row>
    <row r="13" spans="1:7" s="3" customFormat="1" ht="15" customHeight="1" x14ac:dyDescent="0.25">
      <c r="A13" s="16"/>
      <c r="B13"/>
      <c r="C13" t="s">
        <v>6</v>
      </c>
      <c r="D13" t="s">
        <v>8</v>
      </c>
      <c r="E13" s="35">
        <v>75000</v>
      </c>
      <c r="F13" s="35">
        <v>82000</v>
      </c>
      <c r="G13" s="35">
        <v>150000</v>
      </c>
    </row>
    <row r="14" spans="1:7" s="3" customFormat="1" ht="15" customHeight="1" x14ac:dyDescent="0.25">
      <c r="A14" s="16"/>
      <c r="B14"/>
      <c r="C14"/>
      <c r="D14"/>
      <c r="E14"/>
      <c r="F14"/>
      <c r="G14"/>
    </row>
    <row r="15" spans="1:7" s="3" customFormat="1" ht="15" customHeight="1" x14ac:dyDescent="0.25">
      <c r="A15" s="16"/>
      <c r="B15"/>
      <c r="C15"/>
      <c r="D15"/>
      <c r="E15"/>
      <c r="F15"/>
      <c r="G15"/>
    </row>
    <row r="16" spans="1:7" s="3" customFormat="1" ht="15" customHeight="1" x14ac:dyDescent="0.25">
      <c r="A16" s="16"/>
      <c r="B16"/>
      <c r="C16"/>
      <c r="D16"/>
      <c r="E16"/>
      <c r="F16"/>
      <c r="G16"/>
    </row>
    <row r="17" spans="1:7" s="3" customFormat="1" ht="15" customHeight="1" x14ac:dyDescent="0.25">
      <c r="A17" s="16"/>
      <c r="B17"/>
      <c r="C17"/>
      <c r="D17"/>
      <c r="E17"/>
      <c r="F17"/>
      <c r="G17"/>
    </row>
    <row r="18" spans="1:7" s="3" customFormat="1" ht="15" customHeight="1" x14ac:dyDescent="0.25">
      <c r="A18" s="16"/>
      <c r="B18"/>
      <c r="C18"/>
      <c r="D18"/>
      <c r="E18"/>
      <c r="F18"/>
      <c r="G18"/>
    </row>
    <row r="19" spans="1:7" s="3" customFormat="1" ht="15" customHeight="1" x14ac:dyDescent="0.25">
      <c r="A19" s="16"/>
      <c r="B19"/>
      <c r="C19"/>
      <c r="D19"/>
      <c r="E19"/>
      <c r="F19"/>
      <c r="G19"/>
    </row>
    <row r="20" spans="1:7" s="3" customFormat="1" ht="15" customHeight="1" x14ac:dyDescent="0.25">
      <c r="A20" s="16"/>
      <c r="B20"/>
      <c r="C20"/>
      <c r="D20"/>
      <c r="E20"/>
      <c r="F20"/>
      <c r="G20"/>
    </row>
    <row r="21" spans="1:7" s="3" customFormat="1" ht="15" customHeight="1" x14ac:dyDescent="0.25">
      <c r="A21" s="16"/>
      <c r="B21"/>
      <c r="C21"/>
      <c r="D21"/>
      <c r="E21"/>
      <c r="F21"/>
      <c r="G21"/>
    </row>
    <row r="22" spans="1:7" s="3" customFormat="1" ht="15" customHeight="1" x14ac:dyDescent="0.25">
      <c r="A22" s="16"/>
      <c r="B22"/>
    </row>
    <row r="23" spans="1:7" s="3" customFormat="1" ht="15" customHeight="1" x14ac:dyDescent="0.25">
      <c r="A23" s="16"/>
      <c r="B23"/>
    </row>
    <row r="24" spans="1:7" s="3" customFormat="1" ht="15" customHeight="1" x14ac:dyDescent="0.25">
      <c r="A24" s="16"/>
      <c r="B24"/>
    </row>
    <row r="27" spans="1:7" ht="15" customHeight="1" x14ac:dyDescent="0.25">
      <c r="A27" s="16" t="s">
        <v>210</v>
      </c>
    </row>
    <row r="28" spans="1:7" ht="15" customHeight="1" x14ac:dyDescent="0.25">
      <c r="A28" s="16" t="s">
        <v>251</v>
      </c>
    </row>
    <row r="29" spans="1:7" ht="15" customHeight="1" x14ac:dyDescent="0.25">
      <c r="A29" s="16" t="s">
        <v>323</v>
      </c>
    </row>
    <row r="30" spans="1:7" ht="15" customHeight="1" x14ac:dyDescent="0.25">
      <c r="A30" s="16" t="s">
        <v>253</v>
      </c>
    </row>
    <row r="31" spans="1:7" ht="15" customHeight="1" x14ac:dyDescent="0.25">
      <c r="A31" s="16" t="s">
        <v>254</v>
      </c>
    </row>
    <row r="32" spans="1:7" ht="15" customHeight="1" x14ac:dyDescent="0.25">
      <c r="A32" s="16" t="s">
        <v>255</v>
      </c>
    </row>
    <row r="33" spans="1:7" ht="15" customHeight="1" x14ac:dyDescent="0.25">
      <c r="A33" s="16" t="s">
        <v>338</v>
      </c>
    </row>
    <row r="34" spans="1:7" ht="15" customHeight="1" x14ac:dyDescent="0.25">
      <c r="A34" s="16" t="s">
        <v>196</v>
      </c>
      <c r="C34" t="s">
        <v>46</v>
      </c>
      <c r="D34" t="s">
        <v>26</v>
      </c>
      <c r="E34" t="s">
        <v>47</v>
      </c>
      <c r="F34" t="s">
        <v>48</v>
      </c>
      <c r="G34" t="s">
        <v>49</v>
      </c>
    </row>
    <row r="35" spans="1:7" ht="15" customHeight="1" x14ac:dyDescent="0.25">
      <c r="C35" t="s">
        <v>45</v>
      </c>
      <c r="D35" t="s">
        <v>51</v>
      </c>
      <c r="E35" s="35">
        <v>30000</v>
      </c>
      <c r="F35" s="35">
        <v>15000</v>
      </c>
      <c r="G35" s="35">
        <v>20000</v>
      </c>
    </row>
    <row r="36" spans="1:7" ht="15" customHeight="1" x14ac:dyDescent="0.25">
      <c r="C36" t="s">
        <v>45</v>
      </c>
      <c r="D36" t="s">
        <v>52</v>
      </c>
      <c r="E36" s="35">
        <v>25000</v>
      </c>
      <c r="F36" s="35">
        <v>80000</v>
      </c>
      <c r="G36" s="35">
        <v>120000</v>
      </c>
    </row>
    <row r="37" spans="1:7" ht="15" customHeight="1" x14ac:dyDescent="0.25">
      <c r="C37" t="s">
        <v>53</v>
      </c>
      <c r="D37" t="s">
        <v>64</v>
      </c>
      <c r="E37" s="35">
        <v>80000</v>
      </c>
      <c r="F37" s="35">
        <v>40000</v>
      </c>
      <c r="G37" s="35">
        <v>20000</v>
      </c>
    </row>
    <row r="38" spans="1:7" ht="15" customHeight="1" x14ac:dyDescent="0.25">
      <c r="C38" t="s">
        <v>53</v>
      </c>
      <c r="D38" t="s">
        <v>54</v>
      </c>
      <c r="E38" s="35">
        <v>90000</v>
      </c>
      <c r="F38" s="35">
        <v>35000</v>
      </c>
      <c r="G38" s="35">
        <v>25000</v>
      </c>
    </row>
    <row r="39" spans="1:7" ht="15" customHeight="1" x14ac:dyDescent="0.25">
      <c r="C39" t="s">
        <v>6</v>
      </c>
      <c r="D39" t="s">
        <v>7</v>
      </c>
      <c r="E39" s="35">
        <v>90000</v>
      </c>
      <c r="F39" s="35">
        <v>110000</v>
      </c>
      <c r="G39" s="35">
        <v>200000</v>
      </c>
    </row>
    <row r="40" spans="1:7" ht="15" customHeight="1" x14ac:dyDescent="0.25">
      <c r="C40" t="s">
        <v>6</v>
      </c>
      <c r="D40" t="s">
        <v>8</v>
      </c>
      <c r="E40" s="35">
        <v>75000</v>
      </c>
      <c r="F40" s="35">
        <v>82000</v>
      </c>
      <c r="G40" s="35">
        <v>150000</v>
      </c>
    </row>
    <row r="41" spans="1:7" ht="15" customHeight="1" x14ac:dyDescent="0.25">
      <c r="C41" t="s">
        <v>28</v>
      </c>
      <c r="D41" t="s">
        <v>50</v>
      </c>
      <c r="E41" s="35">
        <v>30000</v>
      </c>
      <c r="F41" s="35">
        <v>80000</v>
      </c>
      <c r="G41" s="35">
        <v>30000</v>
      </c>
    </row>
    <row r="42" spans="1:7" ht="15" customHeight="1" x14ac:dyDescent="0.25">
      <c r="C42" t="s">
        <v>28</v>
      </c>
      <c r="D42" t="s">
        <v>0</v>
      </c>
      <c r="E42" s="35">
        <v>10000</v>
      </c>
      <c r="F42" s="35">
        <v>30000</v>
      </c>
      <c r="G42" s="35">
        <v>40000</v>
      </c>
    </row>
    <row r="47" spans="1:7" ht="15" customHeight="1" x14ac:dyDescent="0.25">
      <c r="A47" s="16" t="s">
        <v>211</v>
      </c>
    </row>
    <row r="48" spans="1:7" ht="15" customHeight="1" x14ac:dyDescent="0.25">
      <c r="A48" s="16" t="s">
        <v>212</v>
      </c>
    </row>
    <row r="49" spans="1:7" ht="15" customHeight="1" x14ac:dyDescent="0.25">
      <c r="A49" s="16" t="s">
        <v>324</v>
      </c>
    </row>
    <row r="50" spans="1:7" ht="15" customHeight="1" x14ac:dyDescent="0.25">
      <c r="A50" s="16" t="s">
        <v>256</v>
      </c>
    </row>
    <row r="51" spans="1:7" ht="15" customHeight="1" x14ac:dyDescent="0.25">
      <c r="A51" s="16" t="s">
        <v>257</v>
      </c>
    </row>
    <row r="52" spans="1:7" ht="15" customHeight="1" x14ac:dyDescent="0.25">
      <c r="A52" s="16" t="s">
        <v>258</v>
      </c>
    </row>
    <row r="53" spans="1:7" ht="15" customHeight="1" x14ac:dyDescent="0.25">
      <c r="A53" s="16" t="s">
        <v>325</v>
      </c>
    </row>
    <row r="54" spans="1:7" ht="15" customHeight="1" x14ac:dyDescent="0.25">
      <c r="A54" s="16" t="s">
        <v>215</v>
      </c>
      <c r="C54" t="s">
        <v>46</v>
      </c>
      <c r="D54" t="s">
        <v>26</v>
      </c>
      <c r="E54" t="s">
        <v>47</v>
      </c>
      <c r="F54" t="s">
        <v>48</v>
      </c>
      <c r="G54" t="s">
        <v>49</v>
      </c>
    </row>
    <row r="55" spans="1:7" ht="15" customHeight="1" x14ac:dyDescent="0.25">
      <c r="C55" t="s">
        <v>45</v>
      </c>
      <c r="D55" t="s">
        <v>51</v>
      </c>
      <c r="E55" s="35">
        <v>30000</v>
      </c>
      <c r="F55" s="35">
        <v>15000</v>
      </c>
      <c r="G55" s="35">
        <v>20000</v>
      </c>
    </row>
    <row r="56" spans="1:7" ht="15" customHeight="1" x14ac:dyDescent="0.25">
      <c r="C56" t="s">
        <v>45</v>
      </c>
      <c r="D56" t="s">
        <v>52</v>
      </c>
      <c r="E56" s="35">
        <v>25000</v>
      </c>
      <c r="F56" s="35">
        <v>80000</v>
      </c>
      <c r="G56" s="35">
        <v>120000</v>
      </c>
    </row>
    <row r="57" spans="1:7" ht="15" customHeight="1" x14ac:dyDescent="0.25">
      <c r="C57" t="s">
        <v>53</v>
      </c>
      <c r="D57" t="s">
        <v>64</v>
      </c>
      <c r="E57" s="35">
        <v>80000</v>
      </c>
      <c r="F57" s="35">
        <v>40000</v>
      </c>
      <c r="G57" s="35">
        <v>20000</v>
      </c>
    </row>
    <row r="58" spans="1:7" ht="15" customHeight="1" x14ac:dyDescent="0.25">
      <c r="C58" t="s">
        <v>53</v>
      </c>
      <c r="D58" t="s">
        <v>54</v>
      </c>
      <c r="E58" s="35">
        <v>90000</v>
      </c>
      <c r="F58" s="35">
        <v>35000</v>
      </c>
      <c r="G58" s="35">
        <v>25000</v>
      </c>
    </row>
    <row r="59" spans="1:7" ht="15" customHeight="1" x14ac:dyDescent="0.25">
      <c r="C59" t="s">
        <v>6</v>
      </c>
      <c r="D59" t="s">
        <v>7</v>
      </c>
      <c r="E59" s="35">
        <v>90000</v>
      </c>
      <c r="F59" s="35">
        <v>110000</v>
      </c>
      <c r="G59" s="35">
        <v>200000</v>
      </c>
    </row>
    <row r="60" spans="1:7" ht="15" customHeight="1" x14ac:dyDescent="0.25">
      <c r="C60" t="s">
        <v>6</v>
      </c>
      <c r="D60" t="s">
        <v>8</v>
      </c>
      <c r="E60" s="35">
        <v>75000</v>
      </c>
      <c r="F60" s="35">
        <v>82000</v>
      </c>
      <c r="G60" s="35">
        <v>150000</v>
      </c>
    </row>
    <row r="61" spans="1:7" ht="15" customHeight="1" x14ac:dyDescent="0.25">
      <c r="C61" t="s">
        <v>28</v>
      </c>
      <c r="D61" t="s">
        <v>50</v>
      </c>
      <c r="E61" s="35">
        <v>30000</v>
      </c>
      <c r="F61" s="35">
        <v>80000</v>
      </c>
      <c r="G61" s="35">
        <v>30000</v>
      </c>
    </row>
    <row r="62" spans="1:7" ht="15" customHeight="1" x14ac:dyDescent="0.25">
      <c r="C62" t="s">
        <v>28</v>
      </c>
      <c r="D62" t="s">
        <v>0</v>
      </c>
      <c r="E62" s="35">
        <v>10000</v>
      </c>
      <c r="F62" s="35">
        <v>30000</v>
      </c>
      <c r="G62" s="35">
        <v>40000</v>
      </c>
    </row>
    <row r="68" spans="1:1" ht="15" customHeight="1" x14ac:dyDescent="0.25">
      <c r="A68" s="16" t="s">
        <v>113</v>
      </c>
    </row>
    <row r="69" spans="1:1" ht="15" customHeight="1" x14ac:dyDescent="0.25">
      <c r="A69" s="16" t="s">
        <v>213</v>
      </c>
    </row>
    <row r="70" spans="1:1" ht="15" customHeight="1" x14ac:dyDescent="0.25">
      <c r="A70" s="16" t="s">
        <v>214</v>
      </c>
    </row>
    <row r="71" spans="1:1" ht="15" customHeight="1" x14ac:dyDescent="0.25">
      <c r="A71" s="16" t="s">
        <v>112</v>
      </c>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topLeftCell="A67" zoomScaleNormal="100" zoomScalePageLayoutView="125" workbookViewId="0">
      <selection activeCell="G8" sqref="G8"/>
    </sheetView>
  </sheetViews>
  <sheetFormatPr defaultColWidth="8.85546875" defaultRowHeight="15" customHeight="1" x14ac:dyDescent="0.25"/>
  <cols>
    <col min="1" max="1" width="12.7109375" style="16" customWidth="1"/>
    <col min="2" max="2" width="82.85546875" customWidth="1"/>
    <col min="3" max="3" width="13.85546875" customWidth="1"/>
    <col min="4" max="4" width="24.42578125" customWidth="1"/>
    <col min="5" max="5" width="23.85546875" customWidth="1"/>
    <col min="6" max="6" width="15.5703125" customWidth="1"/>
  </cols>
  <sheetData>
    <row r="1" spans="1:6" ht="60" customHeight="1" x14ac:dyDescent="0.25">
      <c r="A1" s="16" t="s">
        <v>134</v>
      </c>
    </row>
    <row r="2" spans="1:6" ht="15" customHeight="1" x14ac:dyDescent="0.25">
      <c r="A2" s="16" t="s">
        <v>345</v>
      </c>
    </row>
    <row r="3" spans="1:6" ht="15" customHeight="1" x14ac:dyDescent="0.25">
      <c r="A3" s="16" t="s">
        <v>259</v>
      </c>
    </row>
    <row r="4" spans="1:6" ht="15" customHeight="1" x14ac:dyDescent="0.25">
      <c r="A4" s="16" t="s">
        <v>346</v>
      </c>
    </row>
    <row r="5" spans="1:6" s="3" customFormat="1" ht="15" customHeight="1" x14ac:dyDescent="0.25">
      <c r="A5" s="16" t="s">
        <v>326</v>
      </c>
      <c r="B5"/>
      <c r="C5" t="s">
        <v>84</v>
      </c>
      <c r="D5" t="s">
        <v>85</v>
      </c>
      <c r="E5"/>
      <c r="F5"/>
    </row>
    <row r="6" spans="1:6" s="3" customFormat="1" ht="15" customHeight="1" x14ac:dyDescent="0.25">
      <c r="A6" s="16" t="s">
        <v>363</v>
      </c>
      <c r="B6"/>
      <c r="C6">
        <f ca="1">YEAR(TODAY())-5</f>
        <v>2021</v>
      </c>
      <c r="D6">
        <v>500</v>
      </c>
      <c r="E6"/>
      <c r="F6"/>
    </row>
    <row r="7" spans="1:6" s="3" customFormat="1" ht="15" customHeight="1" x14ac:dyDescent="0.25">
      <c r="A7" s="16" t="s">
        <v>347</v>
      </c>
      <c r="B7"/>
      <c r="C7">
        <f ca="1">YEAR(TODAY())-4</f>
        <v>2022</v>
      </c>
      <c r="D7">
        <v>800</v>
      </c>
      <c r="E7"/>
      <c r="F7"/>
    </row>
    <row r="8" spans="1:6" s="3" customFormat="1" ht="15" customHeight="1" x14ac:dyDescent="0.25">
      <c r="A8" s="16" t="s">
        <v>260</v>
      </c>
      <c r="B8"/>
      <c r="C8">
        <f ca="1">YEAR(TODAY())-3</f>
        <v>2023</v>
      </c>
      <c r="D8">
        <v>1000</v>
      </c>
      <c r="E8"/>
      <c r="F8"/>
    </row>
    <row r="9" spans="1:6" s="3" customFormat="1" ht="15" customHeight="1" x14ac:dyDescent="0.25">
      <c r="A9" s="46" t="s">
        <v>339</v>
      </c>
      <c r="B9"/>
      <c r="C9">
        <f ca="1">YEAR(TODAY())-2</f>
        <v>2024</v>
      </c>
      <c r="D9">
        <v>900</v>
      </c>
      <c r="E9"/>
      <c r="F9"/>
    </row>
    <row r="10" spans="1:6" s="3" customFormat="1" ht="15" customHeight="1" x14ac:dyDescent="0.25">
      <c r="A10" s="16" t="s">
        <v>118</v>
      </c>
      <c r="B10"/>
      <c r="C10">
        <f ca="1">YEAR(TODAY())-1</f>
        <v>2025</v>
      </c>
      <c r="D10">
        <v>1000</v>
      </c>
      <c r="E10"/>
      <c r="F10"/>
    </row>
    <row r="11" spans="1:6" s="3" customFormat="1" ht="15" customHeight="1" x14ac:dyDescent="0.25">
      <c r="A11" s="16"/>
      <c r="B11"/>
      <c r="C11">
        <f ca="1">YEAR(TODAY())</f>
        <v>2026</v>
      </c>
      <c r="D11">
        <v>1200</v>
      </c>
      <c r="E11"/>
      <c r="F11"/>
    </row>
    <row r="12" spans="1:6" s="3" customFormat="1" ht="15" customHeight="1" x14ac:dyDescent="0.25">
      <c r="A12" s="16"/>
      <c r="B12"/>
      <c r="C12"/>
      <c r="D12"/>
      <c r="E12"/>
      <c r="F12"/>
    </row>
    <row r="13" spans="1:6" s="3" customFormat="1" ht="15" customHeight="1" x14ac:dyDescent="0.25">
      <c r="A13" s="16"/>
      <c r="B13"/>
      <c r="C13"/>
      <c r="D13"/>
      <c r="E13"/>
      <c r="F13"/>
    </row>
    <row r="14" spans="1:6" s="3" customFormat="1" ht="15" customHeight="1" x14ac:dyDescent="0.25">
      <c r="A14" s="16"/>
      <c r="B14"/>
      <c r="C14"/>
      <c r="D14"/>
      <c r="E14"/>
      <c r="F14"/>
    </row>
    <row r="15" spans="1:6" s="3" customFormat="1" ht="15" customHeight="1" x14ac:dyDescent="0.25">
      <c r="A15" s="16"/>
      <c r="B15"/>
      <c r="C15"/>
      <c r="D15"/>
      <c r="E15"/>
      <c r="F15"/>
    </row>
    <row r="16" spans="1:6" s="3" customFormat="1" ht="15" customHeight="1" x14ac:dyDescent="0.25">
      <c r="A16" s="16"/>
      <c r="B16"/>
      <c r="C16"/>
      <c r="D16"/>
      <c r="E16"/>
      <c r="F16"/>
    </row>
    <row r="17" spans="1:6" s="3" customFormat="1" ht="15" customHeight="1" x14ac:dyDescent="0.25">
      <c r="A17" s="16"/>
      <c r="B17"/>
      <c r="C17"/>
      <c r="D17"/>
      <c r="E17"/>
      <c r="F17"/>
    </row>
    <row r="18" spans="1:6" s="3" customFormat="1" ht="15" customHeight="1" x14ac:dyDescent="0.25">
      <c r="A18" s="16"/>
      <c r="B18"/>
      <c r="C18"/>
      <c r="D18"/>
      <c r="E18"/>
      <c r="F18"/>
    </row>
    <row r="19" spans="1:6" s="3" customFormat="1" ht="15" customHeight="1" x14ac:dyDescent="0.25">
      <c r="A19" s="16"/>
      <c r="B19"/>
      <c r="C19"/>
      <c r="D19"/>
      <c r="E19"/>
      <c r="F19"/>
    </row>
    <row r="20" spans="1:6" s="3" customFormat="1" ht="15" customHeight="1" x14ac:dyDescent="0.25">
      <c r="A20" s="16"/>
      <c r="B20"/>
      <c r="C20"/>
      <c r="D20"/>
      <c r="E20"/>
      <c r="F20"/>
    </row>
    <row r="21" spans="1:6" s="3" customFormat="1" ht="15" customHeight="1" x14ac:dyDescent="0.25">
      <c r="A21" s="16"/>
      <c r="B21"/>
      <c r="C21"/>
      <c r="D21"/>
      <c r="E21"/>
      <c r="F21"/>
    </row>
    <row r="22" spans="1:6" s="3" customFormat="1" ht="15" customHeight="1" x14ac:dyDescent="0.25">
      <c r="A22" s="16"/>
      <c r="B22"/>
    </row>
    <row r="23" spans="1:6" s="3" customFormat="1" ht="15" customHeight="1" x14ac:dyDescent="0.25">
      <c r="A23" s="16"/>
      <c r="B23"/>
    </row>
    <row r="24" spans="1:6" s="3" customFormat="1" ht="15" customHeight="1" x14ac:dyDescent="0.25">
      <c r="A24" s="16"/>
      <c r="B24"/>
    </row>
    <row r="27" spans="1:6" ht="15" customHeight="1" x14ac:dyDescent="0.25">
      <c r="A27" s="16" t="s">
        <v>216</v>
      </c>
    </row>
    <row r="28" spans="1:6" ht="15" customHeight="1" x14ac:dyDescent="0.25">
      <c r="A28" s="16" t="s">
        <v>217</v>
      </c>
    </row>
    <row r="29" spans="1:6" ht="15" customHeight="1" x14ac:dyDescent="0.25">
      <c r="A29" s="16" t="s">
        <v>218</v>
      </c>
    </row>
    <row r="30" spans="1:6" ht="15" customHeight="1" x14ac:dyDescent="0.25">
      <c r="A30" s="16" t="s">
        <v>226</v>
      </c>
    </row>
    <row r="31" spans="1:6" ht="15" customHeight="1" x14ac:dyDescent="0.25">
      <c r="A31" s="16" t="s">
        <v>227</v>
      </c>
    </row>
    <row r="32" spans="1:6" ht="15" customHeight="1" x14ac:dyDescent="0.25">
      <c r="A32" s="16" t="s">
        <v>219</v>
      </c>
    </row>
    <row r="33" spans="1:1" ht="15" customHeight="1" x14ac:dyDescent="0.25">
      <c r="A33" s="16" t="s">
        <v>351</v>
      </c>
    </row>
    <row r="34" spans="1:1" ht="15" customHeight="1" x14ac:dyDescent="0.25">
      <c r="A34" s="16" t="s">
        <v>364</v>
      </c>
    </row>
    <row r="35" spans="1:1" ht="15" customHeight="1" x14ac:dyDescent="0.25">
      <c r="A35" s="16" t="s">
        <v>220</v>
      </c>
    </row>
    <row r="52" spans="1:1" ht="15" customHeight="1" x14ac:dyDescent="0.25">
      <c r="A52" s="16" t="s">
        <v>221</v>
      </c>
    </row>
    <row r="53" spans="1:1" ht="15" customHeight="1" x14ac:dyDescent="0.25">
      <c r="A53" s="16" t="s">
        <v>225</v>
      </c>
    </row>
    <row r="54" spans="1:1" ht="15" customHeight="1" x14ac:dyDescent="0.25">
      <c r="A54" s="16" t="s">
        <v>261</v>
      </c>
    </row>
    <row r="55" spans="1:1" ht="15" customHeight="1" x14ac:dyDescent="0.25">
      <c r="A55" s="16" t="s">
        <v>327</v>
      </c>
    </row>
    <row r="56" spans="1:1" ht="15" customHeight="1" x14ac:dyDescent="0.25">
      <c r="A56" s="46" t="s">
        <v>357</v>
      </c>
    </row>
    <row r="57" spans="1:1" ht="15" customHeight="1" x14ac:dyDescent="0.25">
      <c r="A57" s="16" t="s">
        <v>215</v>
      </c>
    </row>
    <row r="67" spans="1:6" ht="15" customHeight="1" x14ac:dyDescent="0.25">
      <c r="D67" s="9" t="s">
        <v>78</v>
      </c>
      <c r="E67" s="9" t="s">
        <v>85</v>
      </c>
      <c r="F67" s="9" t="s">
        <v>86</v>
      </c>
    </row>
    <row r="68" spans="1:6" ht="15" customHeight="1" x14ac:dyDescent="0.25">
      <c r="A68" s="16" t="s">
        <v>113</v>
      </c>
      <c r="D68">
        <f ca="1">YEAR(TODAY())-5</f>
        <v>2021</v>
      </c>
      <c r="E68" s="5">
        <v>500</v>
      </c>
      <c r="F68" s="37">
        <v>5000</v>
      </c>
    </row>
    <row r="69" spans="1:6" ht="15" customHeight="1" x14ac:dyDescent="0.25">
      <c r="A69" s="16" t="s">
        <v>222</v>
      </c>
      <c r="D69">
        <f ca="1">YEAR(TODAY())-4</f>
        <v>2022</v>
      </c>
      <c r="E69">
        <v>800</v>
      </c>
      <c r="F69" s="36">
        <v>11200</v>
      </c>
    </row>
    <row r="70" spans="1:6" ht="15" customHeight="1" x14ac:dyDescent="0.25">
      <c r="A70" s="16" t="s">
        <v>223</v>
      </c>
      <c r="D70">
        <f ca="1">YEAR(TODAY())-3</f>
        <v>2023</v>
      </c>
      <c r="E70" s="5">
        <v>1000</v>
      </c>
      <c r="F70" s="37">
        <v>30000</v>
      </c>
    </row>
    <row r="71" spans="1:6" ht="15" customHeight="1" x14ac:dyDescent="0.25">
      <c r="A71" s="16" t="s">
        <v>224</v>
      </c>
      <c r="D71">
        <f ca="1">YEAR(TODAY())-2</f>
        <v>2024</v>
      </c>
      <c r="E71">
        <v>900</v>
      </c>
      <c r="F71" s="36">
        <v>25000</v>
      </c>
    </row>
    <row r="72" spans="1:6" ht="15" customHeight="1" x14ac:dyDescent="0.25">
      <c r="A72" s="16" t="s">
        <v>112</v>
      </c>
      <c r="D72">
        <f ca="1">YEAR(TODAY())-1</f>
        <v>2025</v>
      </c>
      <c r="E72" s="5">
        <v>1000</v>
      </c>
      <c r="F72" s="37">
        <v>5000</v>
      </c>
    </row>
    <row r="73" spans="1:6" ht="15" customHeight="1" x14ac:dyDescent="0.25">
      <c r="D73">
        <f ca="1">YEAR(TODAY())</f>
        <v>2026</v>
      </c>
      <c r="E73">
        <v>1200</v>
      </c>
      <c r="F73" s="36">
        <v>8000</v>
      </c>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F840-7FB7-4F66-BD76-58C409748851}">
  <dimension ref="A3:C20"/>
  <sheetViews>
    <sheetView workbookViewId="0">
      <selection activeCell="C9" sqref="C9:H12"/>
    </sheetView>
  </sheetViews>
  <sheetFormatPr defaultRowHeight="15" x14ac:dyDescent="0.25"/>
  <sheetData>
    <row r="3" spans="1:3" x14ac:dyDescent="0.25">
      <c r="A3" s="50"/>
      <c r="B3" s="51"/>
      <c r="C3" s="52"/>
    </row>
    <row r="4" spans="1:3" x14ac:dyDescent="0.25">
      <c r="A4" s="53"/>
      <c r="B4" s="54"/>
      <c r="C4" s="55"/>
    </row>
    <row r="5" spans="1:3" x14ac:dyDescent="0.25">
      <c r="A5" s="53"/>
      <c r="B5" s="54"/>
      <c r="C5" s="55"/>
    </row>
    <row r="6" spans="1:3" x14ac:dyDescent="0.25">
      <c r="A6" s="53"/>
      <c r="B6" s="54"/>
      <c r="C6" s="55"/>
    </row>
    <row r="7" spans="1:3" x14ac:dyDescent="0.25">
      <c r="A7" s="53"/>
      <c r="B7" s="54"/>
      <c r="C7" s="55"/>
    </row>
    <row r="8" spans="1:3" x14ac:dyDescent="0.25">
      <c r="A8" s="53"/>
      <c r="B8" s="54"/>
      <c r="C8" s="55"/>
    </row>
    <row r="9" spans="1:3" x14ac:dyDescent="0.25">
      <c r="A9" s="53"/>
      <c r="B9" s="54"/>
      <c r="C9" s="55"/>
    </row>
    <row r="10" spans="1:3" x14ac:dyDescent="0.25">
      <c r="A10" s="53"/>
      <c r="B10" s="54"/>
      <c r="C10" s="55"/>
    </row>
    <row r="11" spans="1:3" x14ac:dyDescent="0.25">
      <c r="A11" s="53"/>
      <c r="B11" s="54"/>
      <c r="C11" s="55"/>
    </row>
    <row r="12" spans="1:3" x14ac:dyDescent="0.25">
      <c r="A12" s="53"/>
      <c r="B12" s="54"/>
      <c r="C12" s="55"/>
    </row>
    <row r="13" spans="1:3" x14ac:dyDescent="0.25">
      <c r="A13" s="53"/>
      <c r="B13" s="54"/>
      <c r="C13" s="55"/>
    </row>
    <row r="14" spans="1:3" x14ac:dyDescent="0.25">
      <c r="A14" s="53"/>
      <c r="B14" s="54"/>
      <c r="C14" s="55"/>
    </row>
    <row r="15" spans="1:3" x14ac:dyDescent="0.25">
      <c r="A15" s="53"/>
      <c r="B15" s="54"/>
      <c r="C15" s="55"/>
    </row>
    <row r="16" spans="1:3" x14ac:dyDescent="0.25">
      <c r="A16" s="53"/>
      <c r="B16" s="54"/>
      <c r="C16" s="55"/>
    </row>
    <row r="17" spans="1:3" x14ac:dyDescent="0.25">
      <c r="A17" s="53"/>
      <c r="B17" s="54"/>
      <c r="C17" s="55"/>
    </row>
    <row r="18" spans="1:3" x14ac:dyDescent="0.25">
      <c r="A18" s="53"/>
      <c r="B18" s="54"/>
      <c r="C18" s="55"/>
    </row>
    <row r="19" spans="1:3" x14ac:dyDescent="0.25">
      <c r="A19" s="53"/>
      <c r="B19" s="54"/>
      <c r="C19" s="55"/>
    </row>
    <row r="20" spans="1:3" x14ac:dyDescent="0.25">
      <c r="A20" s="56"/>
      <c r="B20" s="57"/>
      <c r="C20" s="5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tabSelected="1" zoomScaleNormal="100" zoomScalePageLayoutView="125" workbookViewId="0">
      <selection activeCell="D4" sqref="D4"/>
    </sheetView>
  </sheetViews>
  <sheetFormatPr defaultColWidth="8.85546875" defaultRowHeight="15" customHeight="1" x14ac:dyDescent="0.25"/>
  <cols>
    <col min="1" max="1" width="12.7109375" style="16" customWidth="1"/>
    <col min="2" max="2" width="82.85546875" customWidth="1"/>
    <col min="3" max="3" width="12.42578125" customWidth="1"/>
    <col min="4" max="4" width="14" customWidth="1"/>
    <col min="5" max="5" width="13.140625" bestFit="1" customWidth="1"/>
    <col min="6" max="6" width="14.85546875" bestFit="1" customWidth="1"/>
  </cols>
  <sheetData>
    <row r="1" spans="1:6" ht="60" customHeight="1" x14ac:dyDescent="0.25">
      <c r="A1" s="16" t="s">
        <v>135</v>
      </c>
    </row>
    <row r="2" spans="1:6" ht="15" customHeight="1" x14ac:dyDescent="0.25">
      <c r="A2" s="16" t="s">
        <v>328</v>
      </c>
    </row>
    <row r="3" spans="1:6" ht="15" customHeight="1" x14ac:dyDescent="0.25">
      <c r="A3" s="16" t="s">
        <v>262</v>
      </c>
      <c r="C3" t="s">
        <v>78</v>
      </c>
      <c r="D3" t="s">
        <v>79</v>
      </c>
      <c r="E3" t="s">
        <v>27</v>
      </c>
      <c r="F3" t="s">
        <v>1</v>
      </c>
    </row>
    <row r="4" spans="1:6" ht="15" customHeight="1" x14ac:dyDescent="0.25">
      <c r="A4" s="16" t="s">
        <v>228</v>
      </c>
      <c r="C4" s="40">
        <f ca="1">TODAY()-57</f>
        <v>46168</v>
      </c>
      <c r="D4" t="s">
        <v>80</v>
      </c>
      <c r="E4" t="s">
        <v>81</v>
      </c>
      <c r="F4" s="38">
        <v>1400</v>
      </c>
    </row>
    <row r="5" spans="1:6" s="3" customFormat="1" ht="15" customHeight="1" x14ac:dyDescent="0.25">
      <c r="A5" s="16" t="s">
        <v>373</v>
      </c>
      <c r="B5"/>
      <c r="C5" s="40">
        <f ca="1">TODAY()-52</f>
        <v>46173</v>
      </c>
      <c r="D5" t="s">
        <v>71</v>
      </c>
      <c r="E5" t="s">
        <v>82</v>
      </c>
      <c r="F5" s="38">
        <v>1010</v>
      </c>
    </row>
    <row r="6" spans="1:6" s="3" customFormat="1" ht="15" customHeight="1" x14ac:dyDescent="0.25">
      <c r="A6" s="16" t="s">
        <v>374</v>
      </c>
      <c r="B6"/>
      <c r="C6" s="40">
        <f ca="1">TODAY()-35</f>
        <v>46190</v>
      </c>
      <c r="D6" t="s">
        <v>80</v>
      </c>
      <c r="E6" t="s">
        <v>81</v>
      </c>
      <c r="F6" s="38">
        <v>750</v>
      </c>
    </row>
    <row r="7" spans="1:6" s="3" customFormat="1" ht="15" customHeight="1" x14ac:dyDescent="0.25">
      <c r="A7" s="16" t="s">
        <v>376</v>
      </c>
      <c r="B7"/>
      <c r="C7" s="40">
        <f ca="1">TODAY()-31</f>
        <v>46194</v>
      </c>
      <c r="D7" t="s">
        <v>71</v>
      </c>
      <c r="E7" t="s">
        <v>83</v>
      </c>
      <c r="F7" s="38">
        <v>510</v>
      </c>
    </row>
    <row r="8" spans="1:6" s="3" customFormat="1" ht="15" customHeight="1" x14ac:dyDescent="0.25">
      <c r="A8" s="16" t="s">
        <v>118</v>
      </c>
      <c r="B8"/>
      <c r="C8" s="40">
        <f ca="1">TODAY()-11</f>
        <v>46214</v>
      </c>
      <c r="D8" t="s">
        <v>66</v>
      </c>
      <c r="E8" t="s">
        <v>83</v>
      </c>
      <c r="F8" s="38">
        <v>1600</v>
      </c>
    </row>
    <row r="9" spans="1:6" s="3" customFormat="1" ht="15" customHeight="1" x14ac:dyDescent="0.25">
      <c r="A9" s="16"/>
      <c r="B9"/>
      <c r="C9" s="40">
        <f ca="1">TODAY()</f>
        <v>46225</v>
      </c>
      <c r="D9" t="s">
        <v>74</v>
      </c>
      <c r="E9" t="s">
        <v>82</v>
      </c>
      <c r="F9" s="38">
        <v>680</v>
      </c>
    </row>
    <row r="10" spans="1:6" s="3" customFormat="1" ht="15" customHeight="1" x14ac:dyDescent="0.25">
      <c r="A10" s="16"/>
      <c r="B10"/>
      <c r="C10"/>
      <c r="D10"/>
      <c r="E10"/>
      <c r="F10"/>
    </row>
    <row r="11" spans="1:6" s="3" customFormat="1" ht="15" customHeight="1" x14ac:dyDescent="0.25">
      <c r="A11" s="16"/>
      <c r="B11"/>
      <c r="E11" s="12" t="s">
        <v>76</v>
      </c>
      <c r="F11" t="s">
        <v>87</v>
      </c>
    </row>
    <row r="12" spans="1:6" s="3" customFormat="1" ht="15" customHeight="1" x14ac:dyDescent="0.25">
      <c r="A12" s="16"/>
      <c r="B12"/>
      <c r="E12" s="3" t="s">
        <v>81</v>
      </c>
      <c r="F12" s="39">
        <v>2150</v>
      </c>
    </row>
    <row r="13" spans="1:6" s="3" customFormat="1" ht="15" customHeight="1" x14ac:dyDescent="0.25">
      <c r="A13" s="16"/>
      <c r="B13"/>
      <c r="E13" s="3" t="s">
        <v>83</v>
      </c>
      <c r="F13" s="39">
        <v>2110</v>
      </c>
    </row>
    <row r="14" spans="1:6" s="3" customFormat="1" ht="15" customHeight="1" x14ac:dyDescent="0.25">
      <c r="A14" s="16"/>
      <c r="B14"/>
      <c r="E14" s="3" t="s">
        <v>82</v>
      </c>
      <c r="F14" s="39">
        <v>1690</v>
      </c>
    </row>
    <row r="15" spans="1:6" s="3" customFormat="1" ht="15" customHeight="1" x14ac:dyDescent="0.25">
      <c r="A15" s="16"/>
      <c r="B15"/>
      <c r="E15" s="3" t="s">
        <v>77</v>
      </c>
      <c r="F15" s="39">
        <v>5950</v>
      </c>
    </row>
    <row r="16" spans="1:6" s="3" customFormat="1" ht="15" customHeight="1" x14ac:dyDescent="0.25">
      <c r="A16" s="16"/>
      <c r="B16"/>
      <c r="C16"/>
      <c r="D16"/>
      <c r="E16"/>
      <c r="F16"/>
    </row>
    <row r="17" spans="1:6" s="3" customFormat="1" ht="15" customHeight="1" x14ac:dyDescent="0.25">
      <c r="A17" s="16"/>
      <c r="B17"/>
      <c r="C17"/>
      <c r="D17"/>
      <c r="E17"/>
      <c r="F17"/>
    </row>
    <row r="18" spans="1:6" s="3" customFormat="1" ht="15" customHeight="1" x14ac:dyDescent="0.25">
      <c r="A18" s="16"/>
      <c r="B18"/>
      <c r="C18"/>
      <c r="D18"/>
      <c r="E18"/>
      <c r="F18"/>
    </row>
    <row r="19" spans="1:6" s="3" customFormat="1" ht="15" customHeight="1" x14ac:dyDescent="0.25">
      <c r="A19" s="16"/>
      <c r="B19"/>
      <c r="C19"/>
      <c r="D19"/>
      <c r="E19"/>
      <c r="F19"/>
    </row>
    <row r="20" spans="1:6" s="3" customFormat="1" ht="15" customHeight="1" x14ac:dyDescent="0.25">
      <c r="A20" s="16"/>
      <c r="B20"/>
      <c r="C20"/>
      <c r="D20"/>
      <c r="E20"/>
      <c r="F20"/>
    </row>
    <row r="21" spans="1:6" s="3" customFormat="1" ht="15" customHeight="1" x14ac:dyDescent="0.25">
      <c r="A21" s="16"/>
      <c r="B21"/>
      <c r="C21"/>
      <c r="D21"/>
      <c r="E21" t="s">
        <v>375</v>
      </c>
      <c r="F21"/>
    </row>
    <row r="22" spans="1:6" s="3" customFormat="1" ht="15" customHeight="1" x14ac:dyDescent="0.25">
      <c r="A22" s="16"/>
      <c r="B22"/>
      <c r="C22"/>
      <c r="D22"/>
      <c r="E22"/>
    </row>
    <row r="23" spans="1:6" s="3" customFormat="1" ht="15" customHeight="1" x14ac:dyDescent="0.25">
      <c r="A23" s="16"/>
      <c r="B23"/>
      <c r="C23"/>
      <c r="D23"/>
      <c r="E23"/>
    </row>
    <row r="24" spans="1:6" s="3" customFormat="1" ht="15" customHeight="1" x14ac:dyDescent="0.25">
      <c r="A24" s="16"/>
      <c r="B24"/>
      <c r="C24"/>
      <c r="D24"/>
      <c r="E24"/>
    </row>
    <row r="27" spans="1:6" ht="15" customHeight="1" x14ac:dyDescent="0.25">
      <c r="A27" s="16" t="s">
        <v>229</v>
      </c>
    </row>
    <row r="28" spans="1:6" ht="15" customHeight="1" x14ac:dyDescent="0.25">
      <c r="A28" s="16" t="s">
        <v>230</v>
      </c>
    </row>
    <row r="29" spans="1:6" ht="15" customHeight="1" x14ac:dyDescent="0.25">
      <c r="A29" s="16" t="s">
        <v>329</v>
      </c>
    </row>
    <row r="30" spans="1:6" ht="15" customHeight="1" x14ac:dyDescent="0.25">
      <c r="A30" s="16" t="s">
        <v>356</v>
      </c>
    </row>
    <row r="31" spans="1:6" ht="15" customHeight="1" x14ac:dyDescent="0.25">
      <c r="A31" s="16" t="s">
        <v>340</v>
      </c>
    </row>
    <row r="32" spans="1:6" ht="15" customHeight="1" x14ac:dyDescent="0.25">
      <c r="A32" s="16" t="s">
        <v>358</v>
      </c>
    </row>
    <row r="33" spans="1:6" ht="15" customHeight="1" x14ac:dyDescent="0.25">
      <c r="A33" s="46" t="s">
        <v>359</v>
      </c>
    </row>
    <row r="34" spans="1:6" ht="15" customHeight="1" x14ac:dyDescent="0.25">
      <c r="A34" s="46" t="s">
        <v>360</v>
      </c>
      <c r="C34" t="s">
        <v>78</v>
      </c>
      <c r="D34" t="s">
        <v>79</v>
      </c>
      <c r="E34" t="s">
        <v>27</v>
      </c>
      <c r="F34" t="s">
        <v>1</v>
      </c>
    </row>
    <row r="35" spans="1:6" ht="15" customHeight="1" x14ac:dyDescent="0.25">
      <c r="A35" s="16" t="s">
        <v>361</v>
      </c>
      <c r="C35" s="40">
        <f ca="1">TODAY()-57</f>
        <v>46168</v>
      </c>
      <c r="D35" t="s">
        <v>80</v>
      </c>
      <c r="E35" t="s">
        <v>81</v>
      </c>
      <c r="F35" s="38">
        <v>1400</v>
      </c>
    </row>
    <row r="36" spans="1:6" ht="15" customHeight="1" x14ac:dyDescent="0.25">
      <c r="A36" s="16" t="s">
        <v>231</v>
      </c>
      <c r="C36" s="40">
        <f ca="1">TODAY()-52</f>
        <v>46173</v>
      </c>
      <c r="D36" t="s">
        <v>71</v>
      </c>
      <c r="E36" t="s">
        <v>82</v>
      </c>
      <c r="F36" s="38">
        <v>1010</v>
      </c>
    </row>
    <row r="37" spans="1:6" ht="15" customHeight="1" x14ac:dyDescent="0.25">
      <c r="C37" s="40">
        <f ca="1">TODAY()-35</f>
        <v>46190</v>
      </c>
      <c r="D37" t="s">
        <v>80</v>
      </c>
      <c r="E37" t="s">
        <v>81</v>
      </c>
      <c r="F37" s="38">
        <v>750</v>
      </c>
    </row>
    <row r="38" spans="1:6" ht="15" customHeight="1" x14ac:dyDescent="0.25">
      <c r="C38" s="40">
        <f ca="1">TODAY()-31</f>
        <v>46194</v>
      </c>
      <c r="D38" t="s">
        <v>71</v>
      </c>
      <c r="E38" t="s">
        <v>83</v>
      </c>
      <c r="F38" s="38">
        <v>510</v>
      </c>
    </row>
    <row r="39" spans="1:6" ht="15" customHeight="1" x14ac:dyDescent="0.25">
      <c r="C39" s="40">
        <f ca="1">TODAY()-11</f>
        <v>46214</v>
      </c>
      <c r="D39" t="s">
        <v>66</v>
      </c>
      <c r="E39" t="s">
        <v>83</v>
      </c>
      <c r="F39" s="38">
        <v>1600</v>
      </c>
    </row>
    <row r="40" spans="1:6" ht="15" customHeight="1" x14ac:dyDescent="0.25">
      <c r="C40" s="40">
        <f ca="1">TODAY()</f>
        <v>46225</v>
      </c>
      <c r="D40" t="s">
        <v>74</v>
      </c>
      <c r="E40" t="s">
        <v>82</v>
      </c>
      <c r="F40" s="38">
        <v>680</v>
      </c>
    </row>
    <row r="58" spans="1:1" ht="15" customHeight="1" x14ac:dyDescent="0.25">
      <c r="A58" s="16" t="s">
        <v>113</v>
      </c>
    </row>
    <row r="59" spans="1:1" ht="15" customHeight="1" x14ac:dyDescent="0.25">
      <c r="A59" s="16" t="s">
        <v>232</v>
      </c>
    </row>
    <row r="60" spans="1:1" ht="15" customHeight="1" x14ac:dyDescent="0.25">
      <c r="A60" s="16" t="s">
        <v>233</v>
      </c>
    </row>
    <row r="61" spans="1:1" ht="15" customHeight="1" x14ac:dyDescent="0.25">
      <c r="A61" s="16" t="s">
        <v>112</v>
      </c>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85546875" defaultRowHeight="15" customHeight="1" x14ac:dyDescent="0.25"/>
  <cols>
    <col min="1" max="1" width="8.85546875" style="16"/>
    <col min="2" max="2" width="95.140625" customWidth="1"/>
  </cols>
  <sheetData>
    <row r="1" spans="1:2" ht="60" customHeight="1" x14ac:dyDescent="0.25">
      <c r="A1" s="16" t="s">
        <v>121</v>
      </c>
    </row>
    <row r="2" spans="1:2" s="13" customFormat="1" ht="15" customHeight="1" x14ac:dyDescent="0.3">
      <c r="A2" s="16" t="s">
        <v>263</v>
      </c>
      <c r="B2"/>
    </row>
    <row r="3" spans="1:2" s="13" customFormat="1" ht="15" customHeight="1" x14ac:dyDescent="0.3">
      <c r="A3" s="16" t="s">
        <v>331</v>
      </c>
      <c r="B3"/>
    </row>
    <row r="4" spans="1:2" s="14" customFormat="1" ht="15" customHeight="1" x14ac:dyDescent="0.7">
      <c r="A4" s="16" t="s">
        <v>349</v>
      </c>
      <c r="B4"/>
    </row>
    <row r="5" spans="1:2" s="15" customFormat="1" ht="15" customHeight="1" x14ac:dyDescent="0.25">
      <c r="A5" s="16" t="s">
        <v>350</v>
      </c>
      <c r="B5"/>
    </row>
    <row r="6" spans="1:2" s="15" customFormat="1" ht="15" customHeight="1" x14ac:dyDescent="0.25">
      <c r="A6" s="46" t="s">
        <v>352</v>
      </c>
      <c r="B6"/>
    </row>
    <row r="7" spans="1:2" ht="15" customHeight="1" x14ac:dyDescent="0.25">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2.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Start</vt:lpstr>
      <vt:lpstr>1. Add</vt:lpstr>
      <vt:lpstr>2. Fill</vt:lpstr>
      <vt:lpstr>3. Split</vt:lpstr>
      <vt:lpstr>4. Transpose</vt:lpstr>
      <vt:lpstr>5. Sort &amp; filter</vt:lpstr>
      <vt:lpstr>6. Tables</vt:lpstr>
      <vt:lpstr>7. Drop-downs</vt:lpstr>
      <vt:lpstr>8. Analyze</vt:lpstr>
      <vt:lpstr>9. Charts</vt:lpstr>
      <vt:lpstr>Sheet1</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2026-07-22T08:08:22Z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